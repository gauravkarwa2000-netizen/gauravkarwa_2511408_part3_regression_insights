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_1" sheetId="4" state="visible" r:id="rId4"/>
    <sheet xmlns:r="http://schemas.openxmlformats.org/officeDocument/2006/relationships" name="Simple_Regression_2" sheetId="5" state="visible" r:id="rId5"/>
    <sheet xmlns:r="http://schemas.openxmlformats.org/officeDocument/2006/relationships" name="Multiple_Regression" sheetId="6" state="visible" r:id="rId6"/>
    <sheet xmlns:r="http://schemas.openxmlformats.org/officeDocument/2006/relationships" name="Predictions_Residuals" sheetId="7" state="visible" r:id="rId7"/>
    <sheet xmlns:r="http://schemas.openxmlformats.org/officeDocument/2006/relationships"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"/>
    <numFmt numFmtId="166" formatCode="0.0000"/>
    <numFmt numFmtId="167" formatCode="0.000000"/>
    <numFmt numFmtId="168" formatCode="#,##0.0000"/>
    <numFmt numFmtId="169" formatCode="0.00&quot;%&quot;"/>
  </numFmts>
  <fonts count="11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b val="1"/>
      <color rgb="FFFFFFFF"/>
      <sz val="10"/>
    </font>
    <font>
      <name val="Carlito"/>
      <b val="1"/>
      <color rgb="FF000000"/>
      <sz val="11"/>
    </font>
    <font>
      <name val="Carlito"/>
      <color rgb="FF375623"/>
      <sz val="11"/>
    </font>
    <font>
      <name val="Carlito"/>
      <color rgb="FF9C0006"/>
      <sz val="11"/>
    </font>
    <font>
      <name val="Carlito"/>
      <b val="1"/>
      <color rgb="FF375623"/>
      <sz val="11"/>
    </font>
    <font>
      <name val="Carlito"/>
      <b val="1"/>
      <color rgb="FF9C5700"/>
      <sz val="11"/>
    </font>
    <font>
      <name val="Carlito"/>
      <color rgb="FF000000"/>
      <sz val="10"/>
    </font>
    <font>
      <name val="Carlito"/>
      <b val="1"/>
      <color rgb="FF9C0006"/>
      <sz val="11"/>
    </font>
  </fonts>
  <fills count="9">
    <fill>
      <patternFill/>
    </fill>
    <fill>
      <patternFill patternType="gray125"/>
    </fill>
    <fill>
      <patternFill patternType="solid">
        <fgColor rgb="FF365F91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6" fontId="2" fillId="0" borderId="0" applyAlignment="1" pivotButton="0" quotePrefix="0" xfId="0">
      <alignment horizontal="center" vertical="center" wrapText="1"/>
    </xf>
    <xf numFmtId="166" fontId="5" fillId="5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left" vertical="center" wrapText="1"/>
    </xf>
    <xf numFmtId="1" fontId="2" fillId="0" borderId="0" applyAlignment="1" pivotButton="0" quotePrefix="0" xfId="0">
      <alignment horizontal="left" vertical="center" wrapText="1"/>
    </xf>
    <xf numFmtId="1" fontId="2" fillId="4" borderId="0" applyAlignment="1" pivotButton="0" quotePrefix="0" xfId="0">
      <alignment horizontal="left" vertical="center" wrapText="1"/>
    </xf>
    <xf numFmtId="166" fontId="2" fillId="0" borderId="0" applyAlignment="1" pivotButton="0" quotePrefix="0" xfId="0">
      <alignment horizontal="left" vertical="center" wrapText="1"/>
    </xf>
    <xf numFmtId="167" fontId="2" fillId="4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168" fontId="2" fillId="0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168" fontId="2" fillId="5" borderId="0" applyAlignment="1" pivotButton="0" quotePrefix="0" xfId="0">
      <alignment horizontal="center" vertical="center" wrapText="1"/>
    </xf>
    <xf numFmtId="166" fontId="2" fillId="5" borderId="0" applyAlignment="1" pivotButton="0" quotePrefix="0" xfId="0">
      <alignment horizontal="center" vertical="center" wrapText="1"/>
    </xf>
    <xf numFmtId="167" fontId="2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168" fontId="2" fillId="4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168" fontId="2" fillId="7" borderId="0" applyAlignment="1" pivotButton="0" quotePrefix="0" xfId="0">
      <alignment horizontal="center" vertical="center" wrapText="1"/>
    </xf>
    <xf numFmtId="166" fontId="2" fillId="7" borderId="0" applyAlignment="1" pivotButton="0" quotePrefix="0" xfId="0">
      <alignment horizontal="center" vertical="center" wrapText="1"/>
    </xf>
    <xf numFmtId="167" fontId="2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" fontId="2" fillId="4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2" fillId="4" borderId="0" applyAlignment="1" pivotButton="0" quotePrefix="0" xfId="0">
      <alignment horizontal="center" vertical="center" wrapText="1"/>
    </xf>
    <xf numFmtId="169" fontId="2" fillId="0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167" fontId="1" fillId="2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3" t="n">
        <v>45689</v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3" t="n">
        <v>45748</v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3" t="n">
        <v>45689</v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3" t="n">
        <v>45748</v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3" t="n">
        <v>45689</v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3" t="n">
        <v>45748</v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3" t="n">
        <v>45689</v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3" t="n">
        <v>45748</v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3" t="n">
        <v>45689</v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3" t="n">
        <v>45748</v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3" t="n">
        <v>45689</v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3" t="n">
        <v>45748</v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3" t="n">
        <v>45689</v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3" t="n">
        <v>45748</v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3" t="n">
        <v>45689</v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3" t="n">
        <v>45748</v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3" t="n">
        <v>45689</v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/>
      </c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3" t="n">
        <v>45748</v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/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3" t="n">
        <v>45689</v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3" t="n">
        <v>45748</v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3" t="n">
        <v>45689</v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3" t="n">
        <v>45748</v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3" t="n">
        <v>45689</v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3" t="n">
        <v>45748</v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3" t="n">
        <v>45689</v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/>
      </c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3" t="n">
        <v>45748</v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3" t="n">
        <v>45689</v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3" t="n">
        <v>45748</v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3" t="n">
        <v>45689</v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3" t="n">
        <v>45748</v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3" t="n">
        <v>45689</v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3" t="n">
        <v>45748</v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3" t="n">
        <v>45689</v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3" t="n">
        <v>45748</v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3" t="n">
        <v>45689</v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3" t="n">
        <v>45748</v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3" t="n">
        <v>45689</v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3" t="n">
        <v>45748</v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3" t="n">
        <v>45689</v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3" t="n">
        <v>45748</v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3" t="n">
        <v>45689</v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3" t="n">
        <v>45748</v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3" t="n">
        <v>45689</v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3" t="n">
        <v>45748</v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3" t="n">
        <v>45689</v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3" t="n">
        <v>45748</v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3" t="n">
        <v>45689</v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3" t="n">
        <v>45748</v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3" t="n">
        <v>45689</v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/>
      </c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3" t="n">
        <v>45748</v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3" t="n">
        <v>45689</v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3" t="n">
        <v>45748</v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3" t="n">
        <v>45689</v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3" t="n">
        <v>45748</v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3" t="n">
        <v>45689</v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3" t="n">
        <v>45748</v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3" t="n">
        <v>45689</v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3" t="n">
        <v>45748</v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3" t="n">
        <v>45689</v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3" t="n">
        <v>45748</v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3" t="n">
        <v>45689</v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3" t="n">
        <v>45748</v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3" t="n">
        <v>45689</v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3" t="n">
        <v>45748</v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3" t="n">
        <v>45689</v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3" t="n">
        <v>45748</v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3" t="n">
        <v>45689</v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3" t="n">
        <v>45748</v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3" t="n">
        <v>45689</v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3" t="n">
        <v>45748</v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3" t="n">
        <v>45689</v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3" t="n">
        <v>45748</v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3" t="n">
        <v>45689</v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3" t="n">
        <v>45748</v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3" t="n">
        <v>45689</v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3" t="n">
        <v>45748</v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3" t="n">
        <v>45689</v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3" t="n">
        <v>45748</v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3" t="n">
        <v>45689</v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3" t="n">
        <v>45748</v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/>
      </c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3" t="n">
        <v>45689</v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3" t="n">
        <v>45748</v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3" t="n">
        <v>45689</v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3" t="n">
        <v>45748</v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3" t="n">
        <v>45689</v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3" t="n">
        <v>45748</v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3" t="n">
        <v>45689</v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3" t="n">
        <v>45748</v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3" t="n">
        <v>45689</v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3" t="n">
        <v>45748</v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3" t="n">
        <v>45689</v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3" t="n">
        <v>45748</v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3" t="n">
        <v>45748</v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3" t="n">
        <v>45689</v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3" t="n">
        <v>45748</v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/>
      </c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3" t="n">
        <v>45689</v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3" t="n">
        <v>45748</v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/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3" t="n">
        <v>45689</v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3" t="n">
        <v>45748</v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3" t="n">
        <v>45689</v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3" t="n">
        <v>45748</v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3" t="n">
        <v>45689</v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3" t="n">
        <v>45748</v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3" t="n">
        <v>45689</v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3" t="n">
        <v>45748</v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3" t="n">
        <v>45689</v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3" t="n">
        <v>45748</v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3" t="n">
        <v>45689</v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3" t="n">
        <v>45748</v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3" t="n">
        <v>45689</v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3" t="n">
        <v>45748</v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3" t="n">
        <v>45689</v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/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3" t="n">
        <v>45748</v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3" t="n">
        <v>45689</v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3" t="n">
        <v>45748</v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3" t="n">
        <v>45689</v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3" t="n">
        <v>45748</v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3" t="n">
        <v>45689</v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3" t="n">
        <v>45748</v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3" t="n">
        <v>45689</v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3" t="n">
        <v>45748</v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3" t="n">
        <v>45689</v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3" t="n">
        <v>45748</v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3" t="n">
        <v>45689</v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3" t="n">
        <v>45748</v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3" t="n">
        <v>45689</v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3" t="n">
        <v>45748</v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3" t="n">
        <v>45689</v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3" t="n">
        <v>45748</v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3" t="n">
        <v>45689</v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3" t="n">
        <v>45748</v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3" t="n">
        <v>45689</v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3" t="n">
        <v>45748</v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3" t="n">
        <v>45689</v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3" t="n">
        <v>45748</v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3" t="n">
        <v>45689</v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3" t="n">
        <v>45748</v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/>
      </c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3" t="n">
        <v>45689</v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/>
      </c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3" t="n">
        <v>45748</v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3" t="n">
        <v>45689</v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3" t="n">
        <v>45748</v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8" customHeight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missing_flag</t>
        </is>
      </c>
    </row>
    <row r="2" ht="20" customHeight="1">
      <c r="A2" s="4" t="inlineStr">
        <is>
          <t>Rows with missing customer_rating or competitor_distance_km are excluded. Cleaned rows: 306 of 320.</t>
        </is>
      </c>
    </row>
    <row r="3">
      <c r="A3" s="2" t="inlineStr">
        <is>
          <t>STR-1001</t>
        </is>
      </c>
      <c r="B3" s="3" t="n">
        <v>45658</v>
      </c>
      <c r="C3" s="2" t="inlineStr">
        <is>
          <t>East</t>
        </is>
      </c>
      <c r="D3" s="2" t="inlineStr">
        <is>
          <t>Residential</t>
        </is>
      </c>
      <c r="E3" s="2" t="n">
        <v>70389.11</v>
      </c>
      <c r="F3" s="2" t="n">
        <v>8302</v>
      </c>
      <c r="G3" s="2" t="n">
        <v>0.042</v>
      </c>
      <c r="H3" s="2" t="n">
        <v>17</v>
      </c>
      <c r="I3" s="2" t="n">
        <v>75</v>
      </c>
      <c r="J3" s="2" t="n">
        <v>5.28</v>
      </c>
      <c r="K3" s="2" t="n">
        <v>1</v>
      </c>
      <c r="L3" s="2" t="n">
        <v>3.1</v>
      </c>
      <c r="M3" s="2" t="n">
        <v>658832.62</v>
      </c>
      <c r="N3" s="2" t="n">
        <v>84349.92999999999</v>
      </c>
      <c r="O3" s="5">
        <f>IF(AND(ISNUMBER(L3),ISNUMBER(J3)),0,1)</f>
        <v/>
      </c>
    </row>
    <row r="4">
      <c r="A4" s="6" t="inlineStr">
        <is>
          <t>STR-1001</t>
        </is>
      </c>
      <c r="B4" s="7" t="n">
        <v>45689</v>
      </c>
      <c r="C4" s="6" t="inlineStr">
        <is>
          <t>East</t>
        </is>
      </c>
      <c r="D4" s="6" t="inlineStr">
        <is>
          <t>Residential</t>
        </is>
      </c>
      <c r="E4" s="6" t="n">
        <v>43827.89</v>
      </c>
      <c r="F4" s="6" t="n">
        <v>8487</v>
      </c>
      <c r="G4" s="6" t="n">
        <v>0.168</v>
      </c>
      <c r="H4" s="6" t="n">
        <v>23</v>
      </c>
      <c r="I4" s="6" t="n">
        <v>84.40000000000001</v>
      </c>
      <c r="J4" s="6" t="n">
        <v>4.31</v>
      </c>
      <c r="K4" s="6" t="n">
        <v>0</v>
      </c>
      <c r="L4" s="6" t="n">
        <v>2.8</v>
      </c>
      <c r="M4" s="6" t="n">
        <v>634436</v>
      </c>
      <c r="N4" s="6" t="n">
        <v>106130.54</v>
      </c>
      <c r="O4" s="8">
        <f>IF(AND(ISNUMBER(L4),ISNUMBER(J4)),0,1)</f>
        <v/>
      </c>
    </row>
    <row r="5">
      <c r="A5" s="2" t="inlineStr">
        <is>
          <t>STR-1001</t>
        </is>
      </c>
      <c r="B5" s="3" t="n">
        <v>45717</v>
      </c>
      <c r="C5" s="2" t="inlineStr">
        <is>
          <t>East</t>
        </is>
      </c>
      <c r="D5" s="2" t="inlineStr">
        <is>
          <t>Residential</t>
        </is>
      </c>
      <c r="E5" s="2" t="n">
        <v>59921.75</v>
      </c>
      <c r="F5" s="2" t="n">
        <v>9113</v>
      </c>
      <c r="G5" s="2" t="n">
        <v>0.133</v>
      </c>
      <c r="H5" s="2" t="n">
        <v>20</v>
      </c>
      <c r="I5" s="2" t="n">
        <v>88</v>
      </c>
      <c r="J5" s="2" t="n">
        <v>12</v>
      </c>
      <c r="K5" s="2" t="n">
        <v>0</v>
      </c>
      <c r="L5" s="2" t="n">
        <v>3.2</v>
      </c>
      <c r="M5" s="2" t="n">
        <v>678722.0600000001</v>
      </c>
      <c r="N5" s="2" t="n">
        <v>101883.86</v>
      </c>
      <c r="O5" s="5">
        <f>IF(AND(ISNUMBER(L5),ISNUMBER(J5)),0,1)</f>
        <v/>
      </c>
    </row>
    <row r="6">
      <c r="A6" s="6" t="inlineStr">
        <is>
          <t>STR-1001</t>
        </is>
      </c>
      <c r="B6" s="7" t="n">
        <v>45748</v>
      </c>
      <c r="C6" s="6" t="inlineStr">
        <is>
          <t>East</t>
        </is>
      </c>
      <c r="D6" s="6" t="inlineStr">
        <is>
          <t>Residential</t>
        </is>
      </c>
      <c r="E6" s="6" t="n">
        <v>56856.63</v>
      </c>
      <c r="F6" s="6" t="n">
        <v>9431</v>
      </c>
      <c r="G6" s="6" t="n">
        <v>0.142</v>
      </c>
      <c r="H6" s="6" t="n">
        <v>23</v>
      </c>
      <c r="I6" s="6" t="n">
        <v>86.90000000000001</v>
      </c>
      <c r="J6" s="6" t="n">
        <v>4.97</v>
      </c>
      <c r="K6" s="6" t="n">
        <v>0</v>
      </c>
      <c r="L6" s="6" t="n">
        <v>3.4</v>
      </c>
      <c r="M6" s="6" t="n">
        <v>658920.3</v>
      </c>
      <c r="N6" s="6" t="n">
        <v>97910.37</v>
      </c>
      <c r="O6" s="8">
        <f>IF(AND(ISNUMBER(L6),ISNUMBER(J6)),0,1)</f>
        <v/>
      </c>
    </row>
    <row r="7">
      <c r="A7" s="2" t="inlineStr">
        <is>
          <t>STR-1002</t>
        </is>
      </c>
      <c r="B7" s="3" t="n">
        <v>45658</v>
      </c>
      <c r="C7" s="2" t="inlineStr">
        <is>
          <t>East</t>
        </is>
      </c>
      <c r="D7" s="2" t="inlineStr">
        <is>
          <t>High Street</t>
        </is>
      </c>
      <c r="E7" s="2" t="n">
        <v>48412.64</v>
      </c>
      <c r="F7" s="2" t="n">
        <v>9545</v>
      </c>
      <c r="G7" s="2" t="n">
        <v>0.231</v>
      </c>
      <c r="H7" s="2" t="n">
        <v>21</v>
      </c>
      <c r="I7" s="2" t="n">
        <v>97.59999999999999</v>
      </c>
      <c r="J7" s="2" t="n">
        <v>6.94</v>
      </c>
      <c r="K7" s="2" t="n">
        <v>1</v>
      </c>
      <c r="L7" s="2" t="n">
        <v>4.2</v>
      </c>
      <c r="M7" s="2" t="n">
        <v>741341.4399999999</v>
      </c>
      <c r="N7" s="2" t="n">
        <v>119208.17</v>
      </c>
      <c r="O7" s="5">
        <f>IF(AND(ISNUMBER(L7),ISNUMBER(J7)),0,1)</f>
        <v/>
      </c>
    </row>
    <row r="8">
      <c r="A8" s="6" t="inlineStr">
        <is>
          <t>STR-1002</t>
        </is>
      </c>
      <c r="B8" s="7" t="n">
        <v>45689</v>
      </c>
      <c r="C8" s="6" t="inlineStr">
        <is>
          <t>East</t>
        </is>
      </c>
      <c r="D8" s="6" t="inlineStr">
        <is>
          <t>High Street</t>
        </is>
      </c>
      <c r="E8" s="6" t="n">
        <v>64811.21</v>
      </c>
      <c r="F8" s="6" t="n">
        <v>9792</v>
      </c>
      <c r="G8" s="6" t="n">
        <v>0.112</v>
      </c>
      <c r="H8" s="6" t="n">
        <v>20</v>
      </c>
      <c r="I8" s="6" t="n">
        <v>84.2</v>
      </c>
      <c r="J8" s="6" t="n">
        <v>2.88</v>
      </c>
      <c r="K8" s="6" t="n">
        <v>0</v>
      </c>
      <c r="L8" s="6" t="n">
        <v>4.2</v>
      </c>
      <c r="M8" s="6" t="n">
        <v>761835.34</v>
      </c>
      <c r="N8" s="6" t="n">
        <v>149602.23</v>
      </c>
      <c r="O8" s="8">
        <f>IF(AND(ISNUMBER(L8),ISNUMBER(J8)),0,1)</f>
        <v/>
      </c>
    </row>
    <row r="9">
      <c r="A9" s="2" t="inlineStr">
        <is>
          <t>STR-1002</t>
        </is>
      </c>
      <c r="B9" s="3" t="n">
        <v>45717</v>
      </c>
      <c r="C9" s="2" t="inlineStr">
        <is>
          <t>East</t>
        </is>
      </c>
      <c r="D9" s="2" t="inlineStr">
        <is>
          <t>High Street</t>
        </is>
      </c>
      <c r="E9" s="2" t="n">
        <v>46213.45</v>
      </c>
      <c r="F9" s="2" t="n">
        <v>10616</v>
      </c>
      <c r="G9" s="2" t="n">
        <v>0.122</v>
      </c>
      <c r="H9" s="2" t="n">
        <v>22</v>
      </c>
      <c r="I9" s="2" t="n">
        <v>85.2</v>
      </c>
      <c r="J9" s="2" t="n">
        <v>0.2</v>
      </c>
      <c r="K9" s="2" t="n">
        <v>1</v>
      </c>
      <c r="L9" s="2" t="n">
        <v>4.1</v>
      </c>
      <c r="M9" s="2" t="n">
        <v>806615.54</v>
      </c>
      <c r="N9" s="2" t="n">
        <v>131364.62</v>
      </c>
      <c r="O9" s="5">
        <f>IF(AND(ISNUMBER(L9),ISNUMBER(J9)),0,1)</f>
        <v/>
      </c>
    </row>
    <row r="10">
      <c r="A10" s="6" t="inlineStr">
        <is>
          <t>STR-1002</t>
        </is>
      </c>
      <c r="B10" s="7" t="n">
        <v>45748</v>
      </c>
      <c r="C10" s="6" t="inlineStr">
        <is>
          <t>East</t>
        </is>
      </c>
      <c r="D10" s="6" t="inlineStr">
        <is>
          <t>High Street</t>
        </is>
      </c>
      <c r="E10" s="6" t="n">
        <v>68148.52</v>
      </c>
      <c r="F10" s="6" t="n">
        <v>8567</v>
      </c>
      <c r="G10" s="6" t="n">
        <v>0.127</v>
      </c>
      <c r="H10" s="6" t="n">
        <v>23</v>
      </c>
      <c r="I10" s="6" t="n">
        <v>95.59999999999999</v>
      </c>
      <c r="J10" s="6" t="n">
        <v>0.8</v>
      </c>
      <c r="K10" s="6" t="n">
        <v>0</v>
      </c>
      <c r="L10" s="6" t="n">
        <v>3.9</v>
      </c>
      <c r="M10" s="6" t="n">
        <v>850164.26</v>
      </c>
      <c r="N10" s="6" t="n">
        <v>149262.75</v>
      </c>
      <c r="O10" s="8">
        <f>IF(AND(ISNUMBER(L10),ISNUMBER(J10)),0,1)</f>
        <v/>
      </c>
    </row>
    <row r="11">
      <c r="A11" s="2" t="inlineStr">
        <is>
          <t>STR-1003</t>
        </is>
      </c>
      <c r="B11" s="3" t="n">
        <v>45658</v>
      </c>
      <c r="C11" s="2" t="inlineStr">
        <is>
          <t>North</t>
        </is>
      </c>
      <c r="D11" s="2" t="inlineStr">
        <is>
          <t>Airport</t>
        </is>
      </c>
      <c r="E11" s="2" t="n">
        <v>71838.86</v>
      </c>
      <c r="F11" s="2" t="n">
        <v>10979</v>
      </c>
      <c r="G11" s="2" t="n">
        <v>0.215</v>
      </c>
      <c r="H11" s="2" t="n">
        <v>26</v>
      </c>
      <c r="I11" s="2" t="n">
        <v>88.59999999999999</v>
      </c>
      <c r="J11" s="2" t="n">
        <v>7.7</v>
      </c>
      <c r="K11" s="2" t="n">
        <v>1</v>
      </c>
      <c r="L11" s="2" t="n">
        <v>3.8</v>
      </c>
      <c r="M11" s="2" t="n">
        <v>930581.7</v>
      </c>
      <c r="N11" s="2" t="n">
        <v>136207.98</v>
      </c>
      <c r="O11" s="5">
        <f>IF(AND(ISNUMBER(L11),ISNUMBER(J11)),0,1)</f>
        <v/>
      </c>
    </row>
    <row r="12">
      <c r="A12" s="6" t="inlineStr">
        <is>
          <t>STR-1003</t>
        </is>
      </c>
      <c r="B12" s="7" t="n">
        <v>45689</v>
      </c>
      <c r="C12" s="6" t="inlineStr">
        <is>
          <t>North</t>
        </is>
      </c>
      <c r="D12" s="6" t="inlineStr">
        <is>
          <t>Airport</t>
        </is>
      </c>
      <c r="E12" s="6" t="n">
        <v>68133.44</v>
      </c>
      <c r="F12" s="6" t="n">
        <v>9459</v>
      </c>
      <c r="G12" s="6" t="n">
        <v>0.22</v>
      </c>
      <c r="H12" s="6" t="n">
        <v>21</v>
      </c>
      <c r="I12" s="6" t="n">
        <v>85</v>
      </c>
      <c r="J12" s="6" t="n">
        <v>1.91</v>
      </c>
      <c r="K12" s="6" t="n">
        <v>0</v>
      </c>
      <c r="L12" s="6" t="n">
        <v>4.2</v>
      </c>
      <c r="M12" s="6" t="n">
        <v>779010.9399999999</v>
      </c>
      <c r="N12" s="6" t="n">
        <v>106328.09</v>
      </c>
      <c r="O12" s="8">
        <f>IF(AND(ISNUMBER(L12),ISNUMBER(J12)),0,1)</f>
        <v/>
      </c>
    </row>
    <row r="13">
      <c r="A13" s="2" t="inlineStr">
        <is>
          <t>STR-1003</t>
        </is>
      </c>
      <c r="B13" s="3" t="n">
        <v>45717</v>
      </c>
      <c r="C13" s="2" t="inlineStr">
        <is>
          <t>North</t>
        </is>
      </c>
      <c r="D13" s="2" t="inlineStr">
        <is>
          <t>Airport</t>
        </is>
      </c>
      <c r="E13" s="2" t="n">
        <v>34285.21</v>
      </c>
      <c r="F13" s="2" t="n">
        <v>9172</v>
      </c>
      <c r="G13" s="2" t="n">
        <v>0.213</v>
      </c>
      <c r="H13" s="2" t="n">
        <v>22</v>
      </c>
      <c r="I13" s="2" t="n">
        <v>88.3</v>
      </c>
      <c r="J13" s="2" t="n">
        <v>10.46</v>
      </c>
      <c r="K13" s="2" t="n">
        <v>1</v>
      </c>
      <c r="L13" s="2" t="n">
        <v>3.8</v>
      </c>
      <c r="M13" s="2" t="n">
        <v>723060.76</v>
      </c>
      <c r="N13" s="2" t="n">
        <v>123131.24</v>
      </c>
      <c r="O13" s="5">
        <f>IF(AND(ISNUMBER(L13),ISNUMBER(J13)),0,1)</f>
        <v/>
      </c>
    </row>
    <row r="14">
      <c r="A14" s="6" t="inlineStr">
        <is>
          <t>STR-1003</t>
        </is>
      </c>
      <c r="B14" s="7" t="n">
        <v>45748</v>
      </c>
      <c r="C14" s="6" t="inlineStr">
        <is>
          <t>North</t>
        </is>
      </c>
      <c r="D14" s="6" t="inlineStr">
        <is>
          <t>Airport</t>
        </is>
      </c>
      <c r="E14" s="6" t="n">
        <v>67979.88</v>
      </c>
      <c r="F14" s="6" t="n">
        <v>11230</v>
      </c>
      <c r="G14" s="6" t="n">
        <v>0.002</v>
      </c>
      <c r="H14" s="6" t="n">
        <v>28</v>
      </c>
      <c r="I14" s="6" t="n">
        <v>85.3</v>
      </c>
      <c r="J14" s="6" t="n">
        <v>7.16</v>
      </c>
      <c r="K14" s="6" t="n">
        <v>0</v>
      </c>
      <c r="L14" s="6" t="n">
        <v>3.8</v>
      </c>
      <c r="M14" s="6" t="n">
        <v>910791.9399999999</v>
      </c>
      <c r="N14" s="6" t="n">
        <v>158891.28</v>
      </c>
      <c r="O14" s="8">
        <f>IF(AND(ISNUMBER(L14),ISNUMBER(J14)),0,1)</f>
        <v/>
      </c>
    </row>
    <row r="15">
      <c r="A15" s="2" t="inlineStr">
        <is>
          <t>STR-1004</t>
        </is>
      </c>
      <c r="B15" s="3" t="n">
        <v>45658</v>
      </c>
      <c r="C15" s="2" t="inlineStr">
        <is>
          <t>East</t>
        </is>
      </c>
      <c r="D15" s="2" t="inlineStr">
        <is>
          <t>Residential</t>
        </is>
      </c>
      <c r="E15" s="2" t="n">
        <v>71828.25999999999</v>
      </c>
      <c r="F15" s="2" t="n">
        <v>12775</v>
      </c>
      <c r="G15" s="2" t="n">
        <v>0.116</v>
      </c>
      <c r="H15" s="2" t="n">
        <v>30</v>
      </c>
      <c r="I15" s="2" t="n">
        <v>81.7</v>
      </c>
      <c r="J15" s="2" t="n">
        <v>4.24</v>
      </c>
      <c r="K15" s="2" t="n">
        <v>1</v>
      </c>
      <c r="L15" s="2" t="n">
        <v>4.2</v>
      </c>
      <c r="M15" s="2" t="n">
        <v>922168.6</v>
      </c>
      <c r="N15" s="2" t="n">
        <v>107494.53</v>
      </c>
      <c r="O15" s="5">
        <f>IF(AND(ISNUMBER(L15),ISNUMBER(J15)),0,1)</f>
        <v/>
      </c>
    </row>
    <row r="16">
      <c r="A16" s="6" t="inlineStr">
        <is>
          <t>STR-1004</t>
        </is>
      </c>
      <c r="B16" s="7" t="n">
        <v>45689</v>
      </c>
      <c r="C16" s="6" t="inlineStr">
        <is>
          <t>East</t>
        </is>
      </c>
      <c r="D16" s="6" t="inlineStr">
        <is>
          <t>Residential</t>
        </is>
      </c>
      <c r="E16" s="6" t="n">
        <v>55716.82</v>
      </c>
      <c r="F16" s="6" t="n">
        <v>10054</v>
      </c>
      <c r="G16" s="6" t="n">
        <v>0.146</v>
      </c>
      <c r="H16" s="6" t="n">
        <v>24</v>
      </c>
      <c r="I16" s="6" t="n">
        <v>84.90000000000001</v>
      </c>
      <c r="J16" s="6" t="n">
        <v>1.06</v>
      </c>
      <c r="K16" s="6" t="n">
        <v>0</v>
      </c>
      <c r="L16" s="6" t="n">
        <v>4.3</v>
      </c>
      <c r="M16" s="6" t="n">
        <v>726606.28</v>
      </c>
      <c r="N16" s="6" t="n">
        <v>122729.29</v>
      </c>
      <c r="O16" s="8">
        <f>IF(AND(ISNUMBER(L16),ISNUMBER(J16)),0,1)</f>
        <v/>
      </c>
    </row>
    <row r="17">
      <c r="A17" s="2" t="inlineStr">
        <is>
          <t>STR-1004</t>
        </is>
      </c>
      <c r="B17" s="3" t="n">
        <v>45717</v>
      </c>
      <c r="C17" s="2" t="inlineStr">
        <is>
          <t>East</t>
        </is>
      </c>
      <c r="D17" s="2" t="inlineStr">
        <is>
          <t>Residential</t>
        </is>
      </c>
      <c r="E17" s="2" t="n">
        <v>59909.51</v>
      </c>
      <c r="F17" s="2" t="n">
        <v>8895</v>
      </c>
      <c r="G17" s="2" t="n">
        <v>0.228</v>
      </c>
      <c r="H17" s="2" t="n">
        <v>23</v>
      </c>
      <c r="I17" s="2" t="n">
        <v>88.8</v>
      </c>
      <c r="J17" s="2" t="n">
        <v>0.27</v>
      </c>
      <c r="K17" s="2" t="n">
        <v>0</v>
      </c>
      <c r="L17" s="2" t="n">
        <v>4.3</v>
      </c>
      <c r="M17" s="2" t="n">
        <v>746501.09</v>
      </c>
      <c r="N17" s="2" t="n">
        <v>136816.72</v>
      </c>
      <c r="O17" s="5">
        <f>IF(AND(ISNUMBER(L17),ISNUMBER(J17)),0,1)</f>
        <v/>
      </c>
    </row>
    <row r="18">
      <c r="A18" s="6" t="inlineStr">
        <is>
          <t>STR-1004</t>
        </is>
      </c>
      <c r="B18" s="7" t="n">
        <v>45748</v>
      </c>
      <c r="C18" s="6" t="inlineStr">
        <is>
          <t>East</t>
        </is>
      </c>
      <c r="D18" s="6" t="inlineStr">
        <is>
          <t>Residential</t>
        </is>
      </c>
      <c r="E18" s="6" t="n">
        <v>75305.71000000001</v>
      </c>
      <c r="F18" s="6" t="n">
        <v>10940</v>
      </c>
      <c r="G18" s="6" t="n">
        <v>0.006</v>
      </c>
      <c r="H18" s="6" t="n">
        <v>26</v>
      </c>
      <c r="I18" s="6" t="n">
        <v>76.5</v>
      </c>
      <c r="J18" s="6" t="n">
        <v>1.32</v>
      </c>
      <c r="K18" s="6" t="n">
        <v>0</v>
      </c>
      <c r="L18" s="6" t="n">
        <v>4.5</v>
      </c>
      <c r="M18" s="6" t="n">
        <v>834017.02</v>
      </c>
      <c r="N18" s="6" t="n">
        <v>114745.03</v>
      </c>
      <c r="O18" s="8">
        <f>IF(AND(ISNUMBER(L18),ISNUMBER(J18)),0,1)</f>
        <v/>
      </c>
    </row>
    <row r="19">
      <c r="A19" s="2" t="inlineStr">
        <is>
          <t>STR-1005</t>
        </is>
      </c>
      <c r="B19" s="3" t="n">
        <v>45658</v>
      </c>
      <c r="C19" s="2" t="inlineStr">
        <is>
          <t>South</t>
        </is>
      </c>
      <c r="D19" s="2" t="inlineStr">
        <is>
          <t>Residential</t>
        </is>
      </c>
      <c r="E19" s="2" t="n">
        <v>48804.22</v>
      </c>
      <c r="F19" s="2" t="n">
        <v>7057</v>
      </c>
      <c r="G19" s="2" t="n">
        <v>0.005</v>
      </c>
      <c r="H19" s="2" t="n">
        <v>15</v>
      </c>
      <c r="I19" s="2" t="n">
        <v>87.7</v>
      </c>
      <c r="J19" s="2" t="n">
        <v>1.22</v>
      </c>
      <c r="K19" s="2" t="n">
        <v>0</v>
      </c>
      <c r="L19" s="2" t="n">
        <v>3.7</v>
      </c>
      <c r="M19" s="2" t="n">
        <v>666152.52</v>
      </c>
      <c r="N19" s="2" t="n">
        <v>107490.58</v>
      </c>
      <c r="O19" s="5">
        <f>IF(AND(ISNUMBER(L19),ISNUMBER(J19)),0,1)</f>
        <v/>
      </c>
    </row>
    <row r="20">
      <c r="A20" s="6" t="inlineStr">
        <is>
          <t>STR-1005</t>
        </is>
      </c>
      <c r="B20" s="7" t="n">
        <v>45689</v>
      </c>
      <c r="C20" s="6" t="inlineStr">
        <is>
          <t>South</t>
        </is>
      </c>
      <c r="D20" s="6" t="inlineStr">
        <is>
          <t>Residential</t>
        </is>
      </c>
      <c r="E20" s="6" t="n">
        <v>59117.9</v>
      </c>
      <c r="F20" s="6" t="n">
        <v>4263</v>
      </c>
      <c r="G20" s="6" t="n">
        <v>0.119</v>
      </c>
      <c r="H20" s="6" t="n">
        <v>9</v>
      </c>
      <c r="I20" s="6" t="n">
        <v>87.59999999999999</v>
      </c>
      <c r="J20" s="6" t="n">
        <v>4.01</v>
      </c>
      <c r="K20" s="6" t="n">
        <v>0</v>
      </c>
      <c r="L20" s="6" t="n">
        <v>3.6</v>
      </c>
      <c r="M20" s="6" t="n">
        <v>573155.1899999999</v>
      </c>
      <c r="N20" s="6" t="n">
        <v>83680.75</v>
      </c>
      <c r="O20" s="8">
        <f>IF(AND(ISNUMBER(L20),ISNUMBER(J20)),0,1)</f>
        <v/>
      </c>
    </row>
    <row r="21">
      <c r="A21" s="2" t="inlineStr">
        <is>
          <t>STR-1005</t>
        </is>
      </c>
      <c r="B21" s="3" t="n">
        <v>45717</v>
      </c>
      <c r="C21" s="2" t="inlineStr">
        <is>
          <t>South</t>
        </is>
      </c>
      <c r="D21" s="2" t="inlineStr">
        <is>
          <t>Residential</t>
        </is>
      </c>
      <c r="E21" s="2" t="n">
        <v>78831.12</v>
      </c>
      <c r="F21" s="2" t="n">
        <v>5538</v>
      </c>
      <c r="G21" s="2" t="n">
        <v>0</v>
      </c>
      <c r="H21" s="2" t="n">
        <v>15</v>
      </c>
      <c r="I21" s="2" t="n">
        <v>94.09999999999999</v>
      </c>
      <c r="J21" s="2" t="n">
        <v>0.2</v>
      </c>
      <c r="K21" s="2" t="n">
        <v>0</v>
      </c>
      <c r="L21" s="2" t="n">
        <v>3.9</v>
      </c>
      <c r="M21" s="2" t="n">
        <v>666573.2</v>
      </c>
      <c r="N21" s="2" t="n">
        <v>140641.02</v>
      </c>
      <c r="O21" s="5">
        <f>IF(AND(ISNUMBER(L21),ISNUMBER(J21)),0,1)</f>
        <v/>
      </c>
    </row>
    <row r="22">
      <c r="A22" s="6" t="inlineStr">
        <is>
          <t>STR-1005</t>
        </is>
      </c>
      <c r="B22" s="7" t="n">
        <v>45748</v>
      </c>
      <c r="C22" s="6" t="inlineStr">
        <is>
          <t>South</t>
        </is>
      </c>
      <c r="D22" s="6" t="inlineStr">
        <is>
          <t>Residential</t>
        </is>
      </c>
      <c r="E22" s="6" t="n">
        <v>41441.93</v>
      </c>
      <c r="F22" s="6" t="n">
        <v>4865</v>
      </c>
      <c r="G22" s="6" t="n">
        <v>0.158</v>
      </c>
      <c r="H22" s="6" t="n">
        <v>16</v>
      </c>
      <c r="I22" s="6" t="n">
        <v>88.3</v>
      </c>
      <c r="J22" s="6" t="n">
        <v>0.5</v>
      </c>
      <c r="K22" s="6" t="n">
        <v>0</v>
      </c>
      <c r="L22" s="6" t="n">
        <v>4</v>
      </c>
      <c r="M22" s="6" t="n">
        <v>591619.95</v>
      </c>
      <c r="N22" s="6" t="n">
        <v>99521.35000000001</v>
      </c>
      <c r="O22" s="8">
        <f>IF(AND(ISNUMBER(L22),ISNUMBER(J22)),0,1)</f>
        <v/>
      </c>
    </row>
    <row r="23">
      <c r="A23" s="2" t="inlineStr">
        <is>
          <t>STR-1006</t>
        </is>
      </c>
      <c r="B23" s="3" t="n">
        <v>45658</v>
      </c>
      <c r="C23" s="2" t="inlineStr">
        <is>
          <t>North</t>
        </is>
      </c>
      <c r="D23" s="2" t="inlineStr">
        <is>
          <t>Residential</t>
        </is>
      </c>
      <c r="E23" s="2" t="n">
        <v>30356.28</v>
      </c>
      <c r="F23" s="2" t="n">
        <v>2822</v>
      </c>
      <c r="G23" s="2" t="n">
        <v>0.231</v>
      </c>
      <c r="H23" s="2" t="n">
        <v>9</v>
      </c>
      <c r="I23" s="2" t="n">
        <v>84.8</v>
      </c>
      <c r="J23" s="2" t="n">
        <v>6.95</v>
      </c>
      <c r="K23" s="2" t="n">
        <v>0</v>
      </c>
      <c r="L23" s="2" t="n">
        <v>5</v>
      </c>
      <c r="M23" s="2" t="n">
        <v>415721.82</v>
      </c>
      <c r="N23" s="2" t="n">
        <v>61179.15</v>
      </c>
      <c r="O23" s="5">
        <f>IF(AND(ISNUMBER(L23),ISNUMBER(J23)),0,1)</f>
        <v/>
      </c>
    </row>
    <row r="24">
      <c r="A24" s="6" t="inlineStr">
        <is>
          <t>STR-1006</t>
        </is>
      </c>
      <c r="B24" s="7" t="n">
        <v>45689</v>
      </c>
      <c r="C24" s="6" t="inlineStr">
        <is>
          <t>North</t>
        </is>
      </c>
      <c r="D24" s="6" t="inlineStr">
        <is>
          <t>Residential</t>
        </is>
      </c>
      <c r="E24" s="6" t="n">
        <v>33518.88</v>
      </c>
      <c r="F24" s="6" t="n">
        <v>2121</v>
      </c>
      <c r="G24" s="6" t="n">
        <v>0.176</v>
      </c>
      <c r="H24" s="6" t="n">
        <v>8</v>
      </c>
      <c r="I24" s="6" t="n">
        <v>88.5</v>
      </c>
      <c r="J24" s="6" t="n">
        <v>0.2</v>
      </c>
      <c r="K24" s="6" t="n">
        <v>0</v>
      </c>
      <c r="L24" s="6" t="n">
        <v>5</v>
      </c>
      <c r="M24" s="6" t="n">
        <v>491905.13</v>
      </c>
      <c r="N24" s="6" t="n">
        <v>79212.25999999999</v>
      </c>
      <c r="O24" s="8">
        <f>IF(AND(ISNUMBER(L24),ISNUMBER(J24)),0,1)</f>
        <v/>
      </c>
    </row>
    <row r="25">
      <c r="A25" s="2" t="inlineStr">
        <is>
          <t>STR-1006</t>
        </is>
      </c>
      <c r="B25" s="3" t="n">
        <v>45717</v>
      </c>
      <c r="C25" s="2" t="inlineStr">
        <is>
          <t>North</t>
        </is>
      </c>
      <c r="D25" s="2" t="inlineStr">
        <is>
          <t>Residential</t>
        </is>
      </c>
      <c r="E25" s="2" t="n">
        <v>42267.37</v>
      </c>
      <c r="F25" s="2" t="n">
        <v>3364</v>
      </c>
      <c r="G25" s="2" t="n">
        <v>0.16</v>
      </c>
      <c r="H25" s="2" t="n">
        <v>13</v>
      </c>
      <c r="I25" s="2" t="n">
        <v>82</v>
      </c>
      <c r="J25" s="2" t="n">
        <v>1.61</v>
      </c>
      <c r="K25" s="2" t="n">
        <v>1</v>
      </c>
      <c r="L25" s="2" t="n">
        <v>4.6</v>
      </c>
      <c r="M25" s="2" t="n">
        <v>555929.4</v>
      </c>
      <c r="N25" s="2" t="n">
        <v>115201.76</v>
      </c>
      <c r="O25" s="5">
        <f>IF(AND(ISNUMBER(L25),ISNUMBER(J25)),0,1)</f>
        <v/>
      </c>
    </row>
    <row r="26">
      <c r="A26" s="6" t="inlineStr">
        <is>
          <t>STR-1006</t>
        </is>
      </c>
      <c r="B26" s="7" t="n">
        <v>45748</v>
      </c>
      <c r="C26" s="6" t="inlineStr">
        <is>
          <t>North</t>
        </is>
      </c>
      <c r="D26" s="6" t="inlineStr">
        <is>
          <t>Residential</t>
        </is>
      </c>
      <c r="E26" s="6" t="n">
        <v>62060.43</v>
      </c>
      <c r="F26" s="6" t="n">
        <v>2613</v>
      </c>
      <c r="G26" s="6" t="n">
        <v>0.216</v>
      </c>
      <c r="H26" s="6" t="n">
        <v>12</v>
      </c>
      <c r="I26" s="6" t="n">
        <v>92.09999999999999</v>
      </c>
      <c r="J26" s="6" t="n">
        <v>1.55</v>
      </c>
      <c r="K26" s="6" t="n">
        <v>0</v>
      </c>
      <c r="L26" s="6" t="n">
        <v>4.7</v>
      </c>
      <c r="M26" s="6" t="n">
        <v>565810.99</v>
      </c>
      <c r="N26" s="6" t="n">
        <v>77825.46000000001</v>
      </c>
      <c r="O26" s="8">
        <f>IF(AND(ISNUMBER(L26),ISNUMBER(J26)),0,1)</f>
        <v/>
      </c>
    </row>
    <row r="27">
      <c r="A27" s="2" t="inlineStr">
        <is>
          <t>STR-1007</t>
        </is>
      </c>
      <c r="B27" s="3" t="n">
        <v>45658</v>
      </c>
      <c r="C27" s="2" t="inlineStr">
        <is>
          <t>West</t>
        </is>
      </c>
      <c r="D27" s="2" t="inlineStr">
        <is>
          <t>Mall</t>
        </is>
      </c>
      <c r="E27" s="2" t="n">
        <v>57696.69</v>
      </c>
      <c r="F27" s="2" t="n">
        <v>10218</v>
      </c>
      <c r="G27" s="2" t="n">
        <v>0.121</v>
      </c>
      <c r="H27" s="2" t="n">
        <v>25</v>
      </c>
      <c r="I27" s="2" t="n">
        <v>94.8</v>
      </c>
      <c r="J27" s="2" t="n">
        <v>2.99</v>
      </c>
      <c r="K27" s="2" t="n">
        <v>0</v>
      </c>
      <c r="L27" s="2" t="n">
        <v>3.5</v>
      </c>
      <c r="M27" s="2" t="n">
        <v>811771.14</v>
      </c>
      <c r="N27" s="2" t="n">
        <v>148756.24</v>
      </c>
      <c r="O27" s="5">
        <f>IF(AND(ISNUMBER(L27),ISNUMBER(J27)),0,1)</f>
        <v/>
      </c>
    </row>
    <row r="28">
      <c r="A28" s="6" t="inlineStr">
        <is>
          <t>STR-1007</t>
        </is>
      </c>
      <c r="B28" s="7" t="n">
        <v>45689</v>
      </c>
      <c r="C28" s="6" t="inlineStr">
        <is>
          <t>West</t>
        </is>
      </c>
      <c r="D28" s="6" t="inlineStr">
        <is>
          <t>Mall</t>
        </is>
      </c>
      <c r="E28" s="6" t="n">
        <v>172415.52</v>
      </c>
      <c r="F28" s="6" t="n">
        <v>8927</v>
      </c>
      <c r="G28" s="6" t="n">
        <v>0.14</v>
      </c>
      <c r="H28" s="6" t="n">
        <v>22</v>
      </c>
      <c r="I28" s="6" t="n">
        <v>86.2</v>
      </c>
      <c r="J28" s="6" t="n">
        <v>7.04</v>
      </c>
      <c r="K28" s="6" t="n">
        <v>0</v>
      </c>
      <c r="L28" s="6" t="n">
        <v>3.9</v>
      </c>
      <c r="M28" s="6" t="n">
        <v>800451.9399999999</v>
      </c>
      <c r="N28" s="6" t="n">
        <v>111572.29</v>
      </c>
      <c r="O28" s="8">
        <f>IF(AND(ISNUMBER(L28),ISNUMBER(J28)),0,1)</f>
        <v/>
      </c>
    </row>
    <row r="29">
      <c r="A29" s="2" t="inlineStr">
        <is>
          <t>STR-1007</t>
        </is>
      </c>
      <c r="B29" s="3" t="n">
        <v>45717</v>
      </c>
      <c r="C29" s="2" t="inlineStr">
        <is>
          <t>West</t>
        </is>
      </c>
      <c r="D29" s="2" t="inlineStr">
        <is>
          <t>Mall</t>
        </is>
      </c>
      <c r="E29" s="2" t="n">
        <v>55270.52</v>
      </c>
      <c r="F29" s="2" t="n">
        <v>9315</v>
      </c>
      <c r="G29" s="2" t="n">
        <v>0.169</v>
      </c>
      <c r="H29" s="2" t="n">
        <v>23</v>
      </c>
      <c r="I29" s="2" t="n">
        <v>91.90000000000001</v>
      </c>
      <c r="J29" s="2" t="n">
        <v>4.94</v>
      </c>
      <c r="K29" s="2" t="n">
        <v>0</v>
      </c>
      <c r="L29" s="2" t="n">
        <v>4</v>
      </c>
      <c r="M29" s="2" t="n">
        <v>783672.8199999999</v>
      </c>
      <c r="N29" s="2" t="n">
        <v>112577.14</v>
      </c>
      <c r="O29" s="5">
        <f>IF(AND(ISNUMBER(L29),ISNUMBER(J29)),0,1)</f>
        <v/>
      </c>
    </row>
    <row r="30">
      <c r="A30" s="6" t="inlineStr">
        <is>
          <t>STR-1007</t>
        </is>
      </c>
      <c r="B30" s="7" t="n">
        <v>45748</v>
      </c>
      <c r="C30" s="6" t="inlineStr">
        <is>
          <t>West</t>
        </is>
      </c>
      <c r="D30" s="6" t="inlineStr">
        <is>
          <t>Mall</t>
        </is>
      </c>
      <c r="E30" s="6" t="n">
        <v>52715.1</v>
      </c>
      <c r="F30" s="6" t="n">
        <v>7223</v>
      </c>
      <c r="G30" s="6" t="n">
        <v>0.122</v>
      </c>
      <c r="H30" s="6" t="n">
        <v>16</v>
      </c>
      <c r="I30" s="6" t="n">
        <v>84.2</v>
      </c>
      <c r="J30" s="6" t="n">
        <v>16.15</v>
      </c>
      <c r="K30" s="6" t="n">
        <v>0</v>
      </c>
      <c r="L30" s="6" t="n">
        <v>3.7</v>
      </c>
      <c r="M30" s="6" t="n">
        <v>701641.97</v>
      </c>
      <c r="N30" s="6" t="n">
        <v>106111.86</v>
      </c>
      <c r="O30" s="8">
        <f>IF(AND(ISNUMBER(L30),ISNUMBER(J30)),0,1)</f>
        <v/>
      </c>
    </row>
    <row r="31">
      <c r="A31" s="2" t="inlineStr">
        <is>
          <t>STR-1008</t>
        </is>
      </c>
      <c r="B31" s="3" t="n">
        <v>45658</v>
      </c>
      <c r="C31" s="2" t="inlineStr">
        <is>
          <t>East</t>
        </is>
      </c>
      <c r="D31" s="2" t="inlineStr">
        <is>
          <t>Residential</t>
        </is>
      </c>
      <c r="E31" s="2" t="n">
        <v>68600.62</v>
      </c>
      <c r="F31" s="2" t="n">
        <v>3988</v>
      </c>
      <c r="G31" s="2" t="n">
        <v>0.124</v>
      </c>
      <c r="H31" s="2" t="n">
        <v>11</v>
      </c>
      <c r="I31" s="2" t="n">
        <v>85</v>
      </c>
      <c r="J31" s="2" t="n">
        <v>0.48</v>
      </c>
      <c r="K31" s="2" t="n">
        <v>0</v>
      </c>
      <c r="L31" s="2" t="n">
        <v>3.6</v>
      </c>
      <c r="M31" s="2" t="n">
        <v>511844.41</v>
      </c>
      <c r="N31" s="2" t="n">
        <v>72774.44</v>
      </c>
      <c r="O31" s="5">
        <f>IF(AND(ISNUMBER(L31),ISNUMBER(J31)),0,1)</f>
        <v/>
      </c>
    </row>
    <row r="32">
      <c r="A32" s="6" t="inlineStr">
        <is>
          <t>STR-1008</t>
        </is>
      </c>
      <c r="B32" s="7" t="n">
        <v>45689</v>
      </c>
      <c r="C32" s="6" t="inlineStr">
        <is>
          <t>East</t>
        </is>
      </c>
      <c r="D32" s="6" t="inlineStr">
        <is>
          <t>Residential</t>
        </is>
      </c>
      <c r="E32" s="6" t="n">
        <v>63176.73</v>
      </c>
      <c r="F32" s="6" t="n">
        <v>2390</v>
      </c>
      <c r="G32" s="6" t="n">
        <v>0.216</v>
      </c>
      <c r="H32" s="6" t="n">
        <v>9</v>
      </c>
      <c r="I32" s="6" t="n">
        <v>87.5</v>
      </c>
      <c r="J32" s="6" t="n">
        <v>0.31</v>
      </c>
      <c r="K32" s="6" t="n">
        <v>0</v>
      </c>
      <c r="L32" s="6" t="n">
        <v>3.1</v>
      </c>
      <c r="M32" s="6" t="n">
        <v>537383.79</v>
      </c>
      <c r="N32" s="6" t="n">
        <v>63773.27</v>
      </c>
      <c r="O32" s="8">
        <f>IF(AND(ISNUMBER(L32),ISNUMBER(J32)),0,1)</f>
        <v/>
      </c>
    </row>
    <row r="33">
      <c r="A33" s="2" t="inlineStr">
        <is>
          <t>STR-1008</t>
        </is>
      </c>
      <c r="B33" s="3" t="n">
        <v>45717</v>
      </c>
      <c r="C33" s="2" t="inlineStr">
        <is>
          <t>East</t>
        </is>
      </c>
      <c r="D33" s="2" t="inlineStr">
        <is>
          <t>Residential</t>
        </is>
      </c>
      <c r="E33" s="2" t="n">
        <v>44970.08</v>
      </c>
      <c r="F33" s="2" t="n">
        <v>2471</v>
      </c>
      <c r="G33" s="2" t="n">
        <v>0.136</v>
      </c>
      <c r="H33" s="2" t="n">
        <v>11</v>
      </c>
      <c r="I33" s="2" t="n">
        <v>87.59999999999999</v>
      </c>
      <c r="J33" s="2" t="n">
        <v>3.01</v>
      </c>
      <c r="K33" s="2" t="n">
        <v>1</v>
      </c>
      <c r="L33" s="2" t="n">
        <v>3.7</v>
      </c>
      <c r="M33" s="2" t="n">
        <v>500173.02</v>
      </c>
      <c r="N33" s="2" t="n">
        <v>70982.05</v>
      </c>
      <c r="O33" s="5">
        <f>IF(AND(ISNUMBER(L33),ISNUMBER(J33)),0,1)</f>
        <v/>
      </c>
    </row>
    <row r="34">
      <c r="A34" s="6" t="inlineStr">
        <is>
          <t>STR-1008</t>
        </is>
      </c>
      <c r="B34" s="7" t="n">
        <v>45748</v>
      </c>
      <c r="C34" s="6" t="inlineStr">
        <is>
          <t>East</t>
        </is>
      </c>
      <c r="D34" s="6" t="inlineStr">
        <is>
          <t>Residential</t>
        </is>
      </c>
      <c r="E34" s="6" t="n">
        <v>69816.35000000001</v>
      </c>
      <c r="F34" s="6" t="n">
        <v>971</v>
      </c>
      <c r="G34" s="6" t="n">
        <v>0.168</v>
      </c>
      <c r="H34" s="6" t="n">
        <v>5</v>
      </c>
      <c r="I34" s="6" t="n">
        <v>89.90000000000001</v>
      </c>
      <c r="J34" s="6" t="n">
        <v>12.15</v>
      </c>
      <c r="K34" s="6" t="n">
        <v>0</v>
      </c>
      <c r="L34" s="6" t="n">
        <v>3.6</v>
      </c>
      <c r="M34" s="6" t="n">
        <v>427917.38</v>
      </c>
      <c r="N34" s="6" t="n">
        <v>81824.31</v>
      </c>
      <c r="O34" s="8">
        <f>IF(AND(ISNUMBER(L34),ISNUMBER(J34)),0,1)</f>
        <v/>
      </c>
    </row>
    <row r="35">
      <c r="A35" s="2" t="inlineStr">
        <is>
          <t>STR-1009</t>
        </is>
      </c>
      <c r="B35" s="3" t="n">
        <v>45658</v>
      </c>
      <c r="C35" s="2" t="inlineStr">
        <is>
          <t>North</t>
        </is>
      </c>
      <c r="D35" s="2" t="inlineStr">
        <is>
          <t>Residential</t>
        </is>
      </c>
      <c r="E35" s="2" t="n">
        <v>54597.83</v>
      </c>
      <c r="F35" s="2" t="n">
        <v>9429</v>
      </c>
      <c r="G35" s="2" t="n">
        <v>0.188</v>
      </c>
      <c r="H35" s="2" t="n">
        <v>21</v>
      </c>
      <c r="I35" s="2" t="n">
        <v>83.3</v>
      </c>
      <c r="J35" s="2" t="n">
        <v>11.71</v>
      </c>
      <c r="K35" s="2" t="n">
        <v>0</v>
      </c>
      <c r="L35" s="2" t="n">
        <v>4.2</v>
      </c>
      <c r="M35" s="2" t="n">
        <v>641865.03</v>
      </c>
      <c r="N35" s="2" t="n">
        <v>81342.58</v>
      </c>
      <c r="O35" s="5">
        <f>IF(AND(ISNUMBER(L35),ISNUMBER(J35)),0,1)</f>
        <v/>
      </c>
    </row>
    <row r="36">
      <c r="A36" s="6" t="inlineStr">
        <is>
          <t>STR-1009</t>
        </is>
      </c>
      <c r="B36" s="7" t="n">
        <v>45717</v>
      </c>
      <c r="C36" s="6" t="inlineStr">
        <is>
          <t>North</t>
        </is>
      </c>
      <c r="D36" s="6" t="inlineStr">
        <is>
          <t>Residential</t>
        </is>
      </c>
      <c r="E36" s="6" t="n">
        <v>74413.88</v>
      </c>
      <c r="F36" s="6" t="n">
        <v>9449</v>
      </c>
      <c r="G36" s="6" t="n">
        <v>0.039</v>
      </c>
      <c r="H36" s="6" t="n">
        <v>23</v>
      </c>
      <c r="I36" s="6" t="n">
        <v>92.09999999999999</v>
      </c>
      <c r="J36" s="6" t="n">
        <v>2.12</v>
      </c>
      <c r="K36" s="6" t="n">
        <v>0</v>
      </c>
      <c r="L36" s="6" t="n">
        <v>3.5</v>
      </c>
      <c r="M36" s="6" t="n">
        <v>798952.17</v>
      </c>
      <c r="N36" s="6" t="n">
        <v>161499.04</v>
      </c>
      <c r="O36" s="8">
        <f>IF(AND(ISNUMBER(L36),ISNUMBER(J36)),0,1)</f>
        <v/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  <c r="O37" s="5">
        <f>IF(AND(ISNUMBER(L37),ISNUMBER(J37)),0,1)</f>
        <v/>
      </c>
    </row>
    <row r="38">
      <c r="A38" s="6" t="inlineStr">
        <is>
          <t>STR-1010</t>
        </is>
      </c>
      <c r="B38" s="7" t="n">
        <v>45658</v>
      </c>
      <c r="C38" s="6" t="inlineStr">
        <is>
          <t>North</t>
        </is>
      </c>
      <c r="D38" s="6" t="inlineStr">
        <is>
          <t>Mall</t>
        </is>
      </c>
      <c r="E38" s="6" t="n">
        <v>75269.87</v>
      </c>
      <c r="F38" s="6" t="n">
        <v>8838</v>
      </c>
      <c r="G38" s="6" t="n">
        <v>0.092</v>
      </c>
      <c r="H38" s="6" t="n">
        <v>21</v>
      </c>
      <c r="I38" s="6" t="n">
        <v>83.09999999999999</v>
      </c>
      <c r="J38" s="6" t="n">
        <v>9.56</v>
      </c>
      <c r="K38" s="6" t="n">
        <v>1</v>
      </c>
      <c r="L38" s="6" t="n">
        <v>4.2</v>
      </c>
      <c r="M38" s="6" t="n">
        <v>820593.9300000001</v>
      </c>
      <c r="N38" s="6" t="n">
        <v>115860.06</v>
      </c>
      <c r="O38" s="8">
        <f>IF(AND(ISNUMBER(L38),ISNUMBER(J38)),0,1)</f>
        <v/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  <c r="O39" s="5">
        <f>IF(AND(ISNUMBER(L39),ISNUMBER(J39)),0,1)</f>
        <v/>
      </c>
    </row>
    <row r="40">
      <c r="A40" s="6" t="inlineStr">
        <is>
          <t>STR-1010</t>
        </is>
      </c>
      <c r="B40" s="7" t="n">
        <v>45717</v>
      </c>
      <c r="C40" s="6" t="inlineStr">
        <is>
          <t>North</t>
        </is>
      </c>
      <c r="D40" s="6" t="inlineStr">
        <is>
          <t>Mall</t>
        </is>
      </c>
      <c r="E40" s="6" t="n">
        <v>93381.25999999999</v>
      </c>
      <c r="F40" s="6" t="n">
        <v>7562</v>
      </c>
      <c r="G40" s="6" t="n">
        <v>0.198</v>
      </c>
      <c r="H40" s="6" t="n">
        <v>19</v>
      </c>
      <c r="I40" s="6" t="n">
        <v>82.90000000000001</v>
      </c>
      <c r="J40" s="6" t="n">
        <v>5.05</v>
      </c>
      <c r="K40" s="6" t="n">
        <v>0</v>
      </c>
      <c r="L40" s="6" t="n">
        <v>4</v>
      </c>
      <c r="M40" s="6" t="n">
        <v>736633.4</v>
      </c>
      <c r="N40" s="6" t="n">
        <v>115654.66</v>
      </c>
      <c r="O40" s="8">
        <f>IF(AND(ISNUMBER(L40),ISNUMBER(J40)),0,1)</f>
        <v/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  <c r="O41" s="5">
        <f>IF(AND(ISNUMBER(L41),ISNUMBER(J41)),0,1)</f>
        <v/>
      </c>
    </row>
    <row r="42">
      <c r="A42" s="6" t="inlineStr">
        <is>
          <t>STR-1011</t>
        </is>
      </c>
      <c r="B42" s="7" t="n">
        <v>45658</v>
      </c>
      <c r="C42" s="6" t="inlineStr">
        <is>
          <t>East</t>
        </is>
      </c>
      <c r="D42" s="6" t="inlineStr">
        <is>
          <t>Mall</t>
        </is>
      </c>
      <c r="E42" s="6" t="n">
        <v>40462.94</v>
      </c>
      <c r="F42" s="6" t="n">
        <v>3660</v>
      </c>
      <c r="G42" s="6" t="n">
        <v>0.218</v>
      </c>
      <c r="H42" s="6" t="n">
        <v>11</v>
      </c>
      <c r="I42" s="6" t="n">
        <v>95.2</v>
      </c>
      <c r="J42" s="6" t="n">
        <v>5.57</v>
      </c>
      <c r="K42" s="6" t="n">
        <v>0</v>
      </c>
      <c r="L42" s="6" t="n">
        <v>4.4</v>
      </c>
      <c r="M42" s="6" t="n">
        <v>592195.85</v>
      </c>
      <c r="N42" s="6" t="n">
        <v>92291.56</v>
      </c>
      <c r="O42" s="8">
        <f>IF(AND(ISNUMBER(L42),ISNUMBER(J42)),0,1)</f>
        <v/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  <c r="O43" s="5">
        <f>IF(AND(ISNUMBER(L43),ISNUMBER(J43)),0,1)</f>
        <v/>
      </c>
    </row>
    <row r="44">
      <c r="A44" s="6" t="inlineStr">
        <is>
          <t>STR-1011</t>
        </is>
      </c>
      <c r="B44" s="7" t="n">
        <v>45717</v>
      </c>
      <c r="C44" s="6" t="inlineStr">
        <is>
          <t>East</t>
        </is>
      </c>
      <c r="D44" s="6" t="inlineStr">
        <is>
          <t>Mall</t>
        </is>
      </c>
      <c r="E44" s="6" t="n">
        <v>68077.53999999999</v>
      </c>
      <c r="F44" s="6" t="n">
        <v>3360</v>
      </c>
      <c r="G44" s="6" t="n">
        <v>0.128</v>
      </c>
      <c r="H44" s="6" t="n">
        <v>14</v>
      </c>
      <c r="I44" s="6" t="n">
        <v>88.2</v>
      </c>
      <c r="J44" s="6" t="n">
        <v>1.24</v>
      </c>
      <c r="K44" s="6" t="n">
        <v>1</v>
      </c>
      <c r="L44" s="6" t="n">
        <v>4</v>
      </c>
      <c r="M44" s="6" t="n">
        <v>657429.1800000001</v>
      </c>
      <c r="N44" s="6" t="n">
        <v>88919.74000000001</v>
      </c>
      <c r="O44" s="8">
        <f>IF(AND(ISNUMBER(L44),ISNUMBER(J44)),0,1)</f>
        <v/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  <c r="O45" s="5">
        <f>IF(AND(ISNUMBER(L45),ISNUMBER(J45)),0,1)</f>
        <v/>
      </c>
    </row>
    <row r="46">
      <c r="A46" s="6" t="inlineStr">
        <is>
          <t>STR-1012</t>
        </is>
      </c>
      <c r="B46" s="7" t="n">
        <v>45658</v>
      </c>
      <c r="C46" s="6" t="inlineStr">
        <is>
          <t>West</t>
        </is>
      </c>
      <c r="D46" s="6" t="inlineStr">
        <is>
          <t>Residential</t>
        </is>
      </c>
      <c r="E46" s="6" t="n">
        <v>138855.51</v>
      </c>
      <c r="F46" s="6" t="n">
        <v>5145</v>
      </c>
      <c r="G46" s="6" t="n">
        <v>0.06</v>
      </c>
      <c r="H46" s="6" t="n">
        <v>17</v>
      </c>
      <c r="I46" s="6" t="n">
        <v>88.2</v>
      </c>
      <c r="J46" s="6" t="n">
        <v>9.58</v>
      </c>
      <c r="K46" s="6" t="n">
        <v>0</v>
      </c>
      <c r="L46" s="6" t="n">
        <v>3.2</v>
      </c>
      <c r="M46" s="6" t="n">
        <v>595467.6</v>
      </c>
      <c r="N46" s="6" t="n">
        <v>104276.46</v>
      </c>
      <c r="O46" s="8">
        <f>IF(AND(ISNUMBER(L46),ISNUMBER(J46)),0,1)</f>
        <v/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  <c r="O47" s="5">
        <f>IF(AND(ISNUMBER(L47),ISNUMBER(J47)),0,1)</f>
        <v/>
      </c>
    </row>
    <row r="48">
      <c r="A48" s="6" t="inlineStr">
        <is>
          <t>STR-1012</t>
        </is>
      </c>
      <c r="B48" s="7" t="n">
        <v>45717</v>
      </c>
      <c r="C48" s="6" t="inlineStr">
        <is>
          <t>West</t>
        </is>
      </c>
      <c r="D48" s="6" t="inlineStr">
        <is>
          <t>Residential</t>
        </is>
      </c>
      <c r="E48" s="6" t="n">
        <v>50043.65</v>
      </c>
      <c r="F48" s="6" t="n">
        <v>3804</v>
      </c>
      <c r="G48" s="6" t="n">
        <v>0.113</v>
      </c>
      <c r="H48" s="6" t="n">
        <v>11</v>
      </c>
      <c r="I48" s="6" t="n">
        <v>90.90000000000001</v>
      </c>
      <c r="J48" s="6" t="n">
        <v>2.7</v>
      </c>
      <c r="K48" s="6" t="n">
        <v>1</v>
      </c>
      <c r="L48" s="6" t="n">
        <v>3.2</v>
      </c>
      <c r="M48" s="6" t="n">
        <v>614800.09</v>
      </c>
      <c r="N48" s="6" t="n">
        <v>100044.2</v>
      </c>
      <c r="O48" s="8">
        <f>IF(AND(ISNUMBER(L48),ISNUMBER(J48)),0,1)</f>
        <v/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  <c r="O49" s="5">
        <f>IF(AND(ISNUMBER(L49),ISNUMBER(J49)),0,1)</f>
        <v/>
      </c>
    </row>
    <row r="50">
      <c r="A50" s="6" t="inlineStr">
        <is>
          <t>STR-1013</t>
        </is>
      </c>
      <c r="B50" s="7" t="n">
        <v>45658</v>
      </c>
      <c r="C50" s="6" t="inlineStr">
        <is>
          <t>North</t>
        </is>
      </c>
      <c r="D50" s="6" t="inlineStr">
        <is>
          <t>Mall</t>
        </is>
      </c>
      <c r="E50" s="6" t="n">
        <v>46624.05</v>
      </c>
      <c r="F50" s="6" t="n">
        <v>5104</v>
      </c>
      <c r="G50" s="6" t="n">
        <v>0.109</v>
      </c>
      <c r="H50" s="6" t="n">
        <v>11</v>
      </c>
      <c r="I50" s="6" t="n">
        <v>97.3</v>
      </c>
      <c r="J50" s="6" t="n">
        <v>3.49</v>
      </c>
      <c r="K50" s="6" t="n">
        <v>1</v>
      </c>
      <c r="L50" s="6" t="n">
        <v>4.7</v>
      </c>
      <c r="M50" s="6" t="n">
        <v>622811.74</v>
      </c>
      <c r="N50" s="6" t="n">
        <v>109978.35</v>
      </c>
      <c r="O50" s="8">
        <f>IF(AND(ISNUMBER(L50),ISNUMBER(J50)),0,1)</f>
        <v/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  <c r="O51" s="5">
        <f>IF(AND(ISNUMBER(L51),ISNUMBER(J51)),0,1)</f>
        <v/>
      </c>
    </row>
    <row r="52">
      <c r="A52" s="6" t="inlineStr">
        <is>
          <t>STR-1013</t>
        </is>
      </c>
      <c r="B52" s="7" t="n">
        <v>45717</v>
      </c>
      <c r="C52" s="6" t="inlineStr">
        <is>
          <t>North</t>
        </is>
      </c>
      <c r="D52" s="6" t="inlineStr">
        <is>
          <t>Mall</t>
        </is>
      </c>
      <c r="E52" s="6" t="n">
        <v>48287.85</v>
      </c>
      <c r="F52" s="6" t="n">
        <v>5150</v>
      </c>
      <c r="G52" s="6" t="n">
        <v>0.008</v>
      </c>
      <c r="H52" s="6" t="n">
        <v>12</v>
      </c>
      <c r="I52" s="6" t="n">
        <v>80.40000000000001</v>
      </c>
      <c r="J52" s="6" t="n">
        <v>7.4</v>
      </c>
      <c r="K52" s="6" t="n">
        <v>0</v>
      </c>
      <c r="L52" s="6" t="n">
        <v>4.5</v>
      </c>
      <c r="M52" s="6" t="n">
        <v>625672.86</v>
      </c>
      <c r="N52" s="6" t="n">
        <v>118020.12</v>
      </c>
      <c r="O52" s="8">
        <f>IF(AND(ISNUMBER(L52),ISNUMBER(J52)),0,1)</f>
        <v/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  <c r="O53" s="5">
        <f>IF(AND(ISNUMBER(L53),ISNUMBER(J53)),0,1)</f>
        <v/>
      </c>
    </row>
    <row r="54">
      <c r="A54" s="6" t="inlineStr">
        <is>
          <t>STR-1014</t>
        </is>
      </c>
      <c r="B54" s="7" t="n">
        <v>45658</v>
      </c>
      <c r="C54" s="6" t="inlineStr">
        <is>
          <t>West</t>
        </is>
      </c>
      <c r="D54" s="6" t="inlineStr">
        <is>
          <t>High Street</t>
        </is>
      </c>
      <c r="E54" s="6" t="n">
        <v>53015.46</v>
      </c>
      <c r="F54" s="6" t="n">
        <v>3279</v>
      </c>
      <c r="G54" s="6" t="n">
        <v>0.08699999999999999</v>
      </c>
      <c r="H54" s="6" t="n">
        <v>9</v>
      </c>
      <c r="I54" s="6" t="n">
        <v>84.3</v>
      </c>
      <c r="J54" s="6" t="n">
        <v>22.02</v>
      </c>
      <c r="K54" s="6" t="n">
        <v>0</v>
      </c>
      <c r="L54" s="6" t="n">
        <v>3.9</v>
      </c>
      <c r="M54" s="6" t="n">
        <v>463534.25</v>
      </c>
      <c r="N54" s="6" t="n">
        <v>81834.53999999999</v>
      </c>
      <c r="O54" s="8">
        <f>IF(AND(ISNUMBER(L54),ISNUMBER(J54)),0,1)</f>
        <v/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  <c r="O55" s="5">
        <f>IF(AND(ISNUMBER(L55),ISNUMBER(J55)),0,1)</f>
        <v/>
      </c>
    </row>
    <row r="56">
      <c r="A56" s="6" t="inlineStr">
        <is>
          <t>STR-1014</t>
        </is>
      </c>
      <c r="B56" s="7" t="n">
        <v>45717</v>
      </c>
      <c r="C56" s="6" t="inlineStr">
        <is>
          <t>West</t>
        </is>
      </c>
      <c r="D56" s="6" t="inlineStr">
        <is>
          <t>High Street</t>
        </is>
      </c>
      <c r="E56" s="6" t="n">
        <v>81195.5</v>
      </c>
      <c r="F56" s="6" t="n">
        <v>5516</v>
      </c>
      <c r="G56" s="6" t="n">
        <v>0.106</v>
      </c>
      <c r="H56" s="6" t="n">
        <v>14</v>
      </c>
      <c r="I56" s="6" t="n">
        <v>88</v>
      </c>
      <c r="J56" s="6" t="n">
        <v>1.76</v>
      </c>
      <c r="K56" s="6" t="n">
        <v>0</v>
      </c>
      <c r="L56" s="6" t="n">
        <v>4.3</v>
      </c>
      <c r="M56" s="6" t="n">
        <v>720852.5</v>
      </c>
      <c r="N56" s="6" t="n">
        <v>98565.62</v>
      </c>
      <c r="O56" s="8">
        <f>IF(AND(ISNUMBER(L56),ISNUMBER(J56)),0,1)</f>
        <v/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  <c r="O57" s="5">
        <f>IF(AND(ISNUMBER(L57),ISNUMBER(J57)),0,1)</f>
        <v/>
      </c>
    </row>
    <row r="58">
      <c r="A58" s="6" t="inlineStr">
        <is>
          <t>STR-1015</t>
        </is>
      </c>
      <c r="B58" s="7" t="n">
        <v>45658</v>
      </c>
      <c r="C58" s="6" t="inlineStr">
        <is>
          <t>East</t>
        </is>
      </c>
      <c r="D58" s="6" t="inlineStr">
        <is>
          <t>Airport</t>
        </is>
      </c>
      <c r="E58" s="6" t="n">
        <v>19365.06</v>
      </c>
      <c r="F58" s="6" t="n">
        <v>2378</v>
      </c>
      <c r="G58" s="6" t="n">
        <v>0</v>
      </c>
      <c r="H58" s="6" t="n">
        <v>12</v>
      </c>
      <c r="I58" s="6" t="n">
        <v>94.8</v>
      </c>
      <c r="J58" s="6" t="n">
        <v>0.2</v>
      </c>
      <c r="K58" s="6" t="n">
        <v>0</v>
      </c>
      <c r="L58" s="6" t="n">
        <v>3.5</v>
      </c>
      <c r="M58" s="6" t="n">
        <v>518049.26</v>
      </c>
      <c r="N58" s="6" t="n">
        <v>108592.49</v>
      </c>
      <c r="O58" s="8">
        <f>IF(AND(ISNUMBER(L58),ISNUMBER(J58)),0,1)</f>
        <v/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  <c r="O59" s="5">
        <f>IF(AND(ISNUMBER(L59),ISNUMBER(J59)),0,1)</f>
        <v/>
      </c>
    </row>
    <row r="60">
      <c r="A60" s="6" t="inlineStr">
        <is>
          <t>STR-1015</t>
        </is>
      </c>
      <c r="B60" s="7" t="n">
        <v>45717</v>
      </c>
      <c r="C60" s="6" t="inlineStr">
        <is>
          <t>East</t>
        </is>
      </c>
      <c r="D60" s="6" t="inlineStr">
        <is>
          <t>Airport</t>
        </is>
      </c>
      <c r="E60" s="6" t="n">
        <v>118910.48</v>
      </c>
      <c r="F60" s="6" t="n">
        <v>4022</v>
      </c>
      <c r="G60" s="6" t="n">
        <v>0.137</v>
      </c>
      <c r="H60" s="6" t="n">
        <v>11</v>
      </c>
      <c r="I60" s="6" t="n">
        <v>87.09999999999999</v>
      </c>
      <c r="J60" s="6" t="n">
        <v>0.2</v>
      </c>
      <c r="K60" s="6" t="n">
        <v>0</v>
      </c>
      <c r="L60" s="6" t="n">
        <v>3.1</v>
      </c>
      <c r="M60" s="6" t="n">
        <v>617291.15</v>
      </c>
      <c r="N60" s="6" t="n">
        <v>117782</v>
      </c>
      <c r="O60" s="8">
        <f>IF(AND(ISNUMBER(L60),ISNUMBER(J60)),0,1)</f>
        <v/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  <c r="O61" s="5">
        <f>IF(AND(ISNUMBER(L61),ISNUMBER(J61)),0,1)</f>
        <v/>
      </c>
    </row>
    <row r="62">
      <c r="A62" s="6" t="inlineStr">
        <is>
          <t>STR-1016</t>
        </is>
      </c>
      <c r="B62" s="7" t="n">
        <v>45658</v>
      </c>
      <c r="C62" s="6" t="inlineStr">
        <is>
          <t>South</t>
        </is>
      </c>
      <c r="D62" s="6" t="inlineStr">
        <is>
          <t>High Street</t>
        </is>
      </c>
      <c r="E62" s="6" t="n">
        <v>74907.98</v>
      </c>
      <c r="F62" s="6" t="n">
        <v>5306</v>
      </c>
      <c r="G62" s="6" t="n">
        <v>0.062</v>
      </c>
      <c r="H62" s="6" t="n">
        <v>16</v>
      </c>
      <c r="I62" s="6" t="n">
        <v>95.59999999999999</v>
      </c>
      <c r="J62" s="6" t="n">
        <v>1.02</v>
      </c>
      <c r="K62" s="6" t="n">
        <v>0</v>
      </c>
      <c r="L62" s="6" t="n">
        <v>3.7</v>
      </c>
      <c r="M62" s="6" t="n">
        <v>749559.71</v>
      </c>
      <c r="N62" s="6" t="n">
        <v>144522.53</v>
      </c>
      <c r="O62" s="8">
        <f>IF(AND(ISNUMBER(L62),ISNUMBER(J62)),0,1)</f>
        <v/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  <c r="O63" s="5">
        <f>IF(AND(ISNUMBER(L63),ISNUMBER(J63)),0,1)</f>
        <v/>
      </c>
    </row>
    <row r="64">
      <c r="A64" s="6" t="inlineStr">
        <is>
          <t>STR-1016</t>
        </is>
      </c>
      <c r="B64" s="7" t="n">
        <v>45717</v>
      </c>
      <c r="C64" s="6" t="inlineStr">
        <is>
          <t>South</t>
        </is>
      </c>
      <c r="D64" s="6" t="inlineStr">
        <is>
          <t>High Street</t>
        </is>
      </c>
      <c r="E64" s="6" t="n">
        <v>50343.19</v>
      </c>
      <c r="F64" s="6" t="n">
        <v>3845</v>
      </c>
      <c r="G64" s="6" t="n">
        <v>0.113</v>
      </c>
      <c r="H64" s="6" t="n">
        <v>9</v>
      </c>
      <c r="I64" s="6" t="n">
        <v>88.7</v>
      </c>
      <c r="J64" s="6" t="n">
        <v>5.15</v>
      </c>
      <c r="K64" s="6" t="n">
        <v>0</v>
      </c>
      <c r="L64" s="6" t="n">
        <v>3.3</v>
      </c>
      <c r="M64" s="6" t="n">
        <v>572011.2</v>
      </c>
      <c r="N64" s="6" t="n">
        <v>101409.68</v>
      </c>
      <c r="O64" s="8">
        <f>IF(AND(ISNUMBER(L64),ISNUMBER(J64)),0,1)</f>
        <v/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  <c r="O65" s="5">
        <f>IF(AND(ISNUMBER(L65),ISNUMBER(J65)),0,1)</f>
        <v/>
      </c>
    </row>
    <row r="66">
      <c r="A66" s="6" t="inlineStr">
        <is>
          <t>STR-1017</t>
        </is>
      </c>
      <c r="B66" s="7" t="n">
        <v>45658</v>
      </c>
      <c r="C66" s="6" t="inlineStr">
        <is>
          <t>West</t>
        </is>
      </c>
      <c r="D66" s="6" t="inlineStr">
        <is>
          <t>High Street</t>
        </is>
      </c>
      <c r="E66" s="6" t="n">
        <v>70040.31</v>
      </c>
      <c r="F66" s="6" t="n">
        <v>9175</v>
      </c>
      <c r="G66" s="6" t="n">
        <v>0.107</v>
      </c>
      <c r="H66" s="6" t="n">
        <v>23</v>
      </c>
      <c r="I66" s="6" t="n">
        <v>95.09999999999999</v>
      </c>
      <c r="J66" s="6" t="n">
        <v>6.08</v>
      </c>
      <c r="K66" s="6" t="n">
        <v>1</v>
      </c>
      <c r="L66" s="6" t="n">
        <v>3.4</v>
      </c>
      <c r="M66" s="6" t="n">
        <v>784502.6800000001</v>
      </c>
      <c r="N66" s="6" t="n">
        <v>129519.72</v>
      </c>
      <c r="O66" s="8">
        <f>IF(AND(ISNUMBER(L66),ISNUMBER(J66)),0,1)</f>
        <v/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  <c r="O67" s="5">
        <f>IF(AND(ISNUMBER(L67),ISNUMBER(J67)),0,1)</f>
        <v/>
      </c>
    </row>
    <row r="68">
      <c r="A68" s="6" t="inlineStr">
        <is>
          <t>STR-1017</t>
        </is>
      </c>
      <c r="B68" s="7" t="n">
        <v>45717</v>
      </c>
      <c r="C68" s="6" t="inlineStr">
        <is>
          <t>West</t>
        </is>
      </c>
      <c r="D68" s="6" t="inlineStr">
        <is>
          <t>High Street</t>
        </is>
      </c>
      <c r="E68" s="6" t="n">
        <v>79346.10000000001</v>
      </c>
      <c r="F68" s="6" t="n">
        <v>9628</v>
      </c>
      <c r="G68" s="6" t="n">
        <v>0.102</v>
      </c>
      <c r="H68" s="6" t="n">
        <v>20</v>
      </c>
      <c r="I68" s="6" t="n">
        <v>99</v>
      </c>
      <c r="J68" s="6" t="n">
        <v>19.01</v>
      </c>
      <c r="K68" s="6" t="n">
        <v>1</v>
      </c>
      <c r="L68" s="6" t="n">
        <v>3.2</v>
      </c>
      <c r="M68" s="6" t="n">
        <v>685379.08</v>
      </c>
      <c r="N68" s="6" t="n">
        <v>106898.82</v>
      </c>
      <c r="O68" s="8">
        <f>IF(AND(ISNUMBER(L68),ISNUMBER(J68)),0,1)</f>
        <v/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  <c r="O69" s="5">
        <f>IF(AND(ISNUMBER(L69),ISNUMBER(J69)),0,1)</f>
        <v/>
      </c>
    </row>
    <row r="70">
      <c r="A70" s="6" t="inlineStr">
        <is>
          <t>STR-1018</t>
        </is>
      </c>
      <c r="B70" s="7" t="n">
        <v>45658</v>
      </c>
      <c r="C70" s="6" t="inlineStr">
        <is>
          <t>East</t>
        </is>
      </c>
      <c r="D70" s="6" t="inlineStr">
        <is>
          <t>High Street</t>
        </is>
      </c>
      <c r="E70" s="6" t="n">
        <v>70937.24000000001</v>
      </c>
      <c r="F70" s="6" t="n">
        <v>3595</v>
      </c>
      <c r="G70" s="6" t="n">
        <v>0.141</v>
      </c>
      <c r="H70" s="6" t="n">
        <v>11</v>
      </c>
      <c r="I70" s="6" t="n">
        <v>88.90000000000001</v>
      </c>
      <c r="J70" s="6" t="n">
        <v>2.83</v>
      </c>
      <c r="K70" s="6" t="n">
        <v>1</v>
      </c>
      <c r="L70" s="6" t="n">
        <v>3.3</v>
      </c>
      <c r="M70" s="6" t="n">
        <v>661927.14</v>
      </c>
      <c r="N70" s="6" t="n">
        <v>79218.57000000001</v>
      </c>
      <c r="O70" s="8">
        <f>IF(AND(ISNUMBER(L70),ISNUMBER(J70)),0,1)</f>
        <v/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  <c r="O71" s="5">
        <f>IF(AND(ISNUMBER(L71),ISNUMBER(J71)),0,1)</f>
        <v/>
      </c>
    </row>
    <row r="72">
      <c r="A72" s="6" t="inlineStr">
        <is>
          <t>STR-1018</t>
        </is>
      </c>
      <c r="B72" s="7" t="n">
        <v>45717</v>
      </c>
      <c r="C72" s="6" t="inlineStr">
        <is>
          <t>East</t>
        </is>
      </c>
      <c r="D72" s="6" t="inlineStr">
        <is>
          <t>High Street</t>
        </is>
      </c>
      <c r="E72" s="6" t="n">
        <v>60571.82</v>
      </c>
      <c r="F72" s="6" t="n">
        <v>3193</v>
      </c>
      <c r="G72" s="6" t="n">
        <v>0.197</v>
      </c>
      <c r="H72" s="6" t="n">
        <v>7</v>
      </c>
      <c r="I72" s="6" t="n">
        <v>99</v>
      </c>
      <c r="J72" s="6" t="n">
        <v>1.43</v>
      </c>
      <c r="K72" s="6" t="n">
        <v>0</v>
      </c>
      <c r="L72" s="6" t="n">
        <v>3.2</v>
      </c>
      <c r="M72" s="6" t="n">
        <v>605023.87</v>
      </c>
      <c r="N72" s="6" t="n">
        <v>98545.81</v>
      </c>
      <c r="O72" s="8">
        <f>IF(AND(ISNUMBER(L72),ISNUMBER(J72)),0,1)</f>
        <v/>
      </c>
    </row>
    <row r="73">
      <c r="A73" s="2" t="inlineStr">
        <is>
          <t>STR-1019</t>
        </is>
      </c>
      <c r="B73" s="3" t="n">
        <v>45658</v>
      </c>
      <c r="C73" s="2" t="inlineStr">
        <is>
          <t>East</t>
        </is>
      </c>
      <c r="D73" s="2" t="inlineStr">
        <is>
          <t>Residential</t>
        </is>
      </c>
      <c r="E73" s="2" t="n">
        <v>46201.46</v>
      </c>
      <c r="F73" s="2" t="n">
        <v>5918</v>
      </c>
      <c r="G73" s="2" t="n">
        <v>0.277</v>
      </c>
      <c r="H73" s="2" t="n">
        <v>13</v>
      </c>
      <c r="I73" s="2" t="n">
        <v>78.8</v>
      </c>
      <c r="J73" s="2" t="n">
        <v>4.91</v>
      </c>
      <c r="K73" s="2" t="n">
        <v>0</v>
      </c>
      <c r="L73" s="2" t="n">
        <v>4.5</v>
      </c>
      <c r="M73" s="2" t="n">
        <v>616069.41</v>
      </c>
      <c r="N73" s="2" t="n">
        <v>54453.99</v>
      </c>
      <c r="O73" s="5">
        <f>IF(AND(ISNUMBER(L73),ISNUMBER(J73)),0,1)</f>
        <v/>
      </c>
    </row>
    <row r="74">
      <c r="A74" s="6" t="inlineStr">
        <is>
          <t>STR-1019</t>
        </is>
      </c>
      <c r="B74" s="7" t="n">
        <v>45689</v>
      </c>
      <c r="C74" s="6" t="inlineStr">
        <is>
          <t>East</t>
        </is>
      </c>
      <c r="D74" s="6" t="inlineStr">
        <is>
          <t>Residential</t>
        </is>
      </c>
      <c r="E74" s="6" t="n">
        <v>53762.92</v>
      </c>
      <c r="F74" s="6" t="n">
        <v>6821</v>
      </c>
      <c r="G74" s="6" t="n">
        <v>0.066</v>
      </c>
      <c r="H74" s="6" t="n">
        <v>19</v>
      </c>
      <c r="I74" s="6" t="n">
        <v>94.59999999999999</v>
      </c>
      <c r="J74" s="6" t="n">
        <v>7.03</v>
      </c>
      <c r="K74" s="6" t="n">
        <v>0</v>
      </c>
      <c r="L74" s="6" t="n">
        <v>4.4</v>
      </c>
      <c r="M74" s="6" t="n">
        <v>630829.9399999999</v>
      </c>
      <c r="N74" s="6" t="n">
        <v>117090.02</v>
      </c>
      <c r="O74" s="8">
        <f>IF(AND(ISNUMBER(L74),ISNUMBER(J74)),0,1)</f>
        <v/>
      </c>
    </row>
    <row r="75">
      <c r="A75" s="2" t="inlineStr">
        <is>
          <t>STR-1019</t>
        </is>
      </c>
      <c r="B75" s="3" t="n">
        <v>45717</v>
      </c>
      <c r="C75" s="2" t="inlineStr">
        <is>
          <t>East</t>
        </is>
      </c>
      <c r="D75" s="2" t="inlineStr">
        <is>
          <t>Residential</t>
        </is>
      </c>
      <c r="E75" s="2" t="n">
        <v>70144.78</v>
      </c>
      <c r="F75" s="2" t="n">
        <v>6806</v>
      </c>
      <c r="G75" s="2" t="n">
        <v>0.178</v>
      </c>
      <c r="H75" s="2" t="n">
        <v>20</v>
      </c>
      <c r="I75" s="2" t="n">
        <v>93.09999999999999</v>
      </c>
      <c r="J75" s="2" t="n">
        <v>0.28</v>
      </c>
      <c r="K75" s="2" t="n">
        <v>1</v>
      </c>
      <c r="L75" s="2" t="n">
        <v>4.3</v>
      </c>
      <c r="M75" s="2" t="n">
        <v>788087.6800000001</v>
      </c>
      <c r="N75" s="2" t="n">
        <v>116803.42</v>
      </c>
      <c r="O75" s="5">
        <f>IF(AND(ISNUMBER(L75),ISNUMBER(J75)),0,1)</f>
        <v/>
      </c>
    </row>
    <row r="76">
      <c r="A76" s="6" t="inlineStr">
        <is>
          <t>STR-1019</t>
        </is>
      </c>
      <c r="B76" s="7" t="n">
        <v>45748</v>
      </c>
      <c r="C76" s="6" t="inlineStr">
        <is>
          <t>East</t>
        </is>
      </c>
      <c r="D76" s="6" t="inlineStr">
        <is>
          <t>Residential</t>
        </is>
      </c>
      <c r="E76" s="6" t="n">
        <v>58749.63</v>
      </c>
      <c r="F76" s="6" t="n">
        <v>8252</v>
      </c>
      <c r="G76" s="6" t="n">
        <v>0.203</v>
      </c>
      <c r="H76" s="6" t="n">
        <v>20</v>
      </c>
      <c r="I76" s="6" t="n">
        <v>85.2</v>
      </c>
      <c r="J76" s="6" t="n">
        <v>3.61</v>
      </c>
      <c r="K76" s="6" t="n">
        <v>0</v>
      </c>
      <c r="L76" s="6" t="n">
        <v>4.5</v>
      </c>
      <c r="M76" s="6" t="n">
        <v>680840.36</v>
      </c>
      <c r="N76" s="6" t="n">
        <v>68007.67999999999</v>
      </c>
      <c r="O76" s="8">
        <f>IF(AND(ISNUMBER(L76),ISNUMBER(J76)),0,1)</f>
        <v/>
      </c>
    </row>
    <row r="77">
      <c r="A77" s="2" t="inlineStr">
        <is>
          <t>STR-1020</t>
        </is>
      </c>
      <c r="B77" s="3" t="n">
        <v>45658</v>
      </c>
      <c r="C77" s="2" t="inlineStr">
        <is>
          <t>South</t>
        </is>
      </c>
      <c r="D77" s="2" t="inlineStr">
        <is>
          <t>High Street</t>
        </is>
      </c>
      <c r="E77" s="2" t="n">
        <v>56973.18</v>
      </c>
      <c r="F77" s="2" t="n">
        <v>6662</v>
      </c>
      <c r="G77" s="2" t="n">
        <v>0.1</v>
      </c>
      <c r="H77" s="2" t="n">
        <v>15</v>
      </c>
      <c r="I77" s="2" t="n">
        <v>77.7</v>
      </c>
      <c r="J77" s="2" t="n">
        <v>7.52</v>
      </c>
      <c r="K77" s="2" t="n">
        <v>1</v>
      </c>
      <c r="L77" s="2" t="n">
        <v>3.2</v>
      </c>
      <c r="M77" s="2" t="n">
        <v>643657.47</v>
      </c>
      <c r="N77" s="2" t="n">
        <v>87022.45</v>
      </c>
      <c r="O77" s="5">
        <f>IF(AND(ISNUMBER(L77),ISNUMBER(J77)),0,1)</f>
        <v/>
      </c>
    </row>
    <row r="78">
      <c r="A78" s="6" t="inlineStr">
        <is>
          <t>STR-1020</t>
        </is>
      </c>
      <c r="B78" s="7" t="n">
        <v>45689</v>
      </c>
      <c r="C78" s="6" t="inlineStr">
        <is>
          <t>South</t>
        </is>
      </c>
      <c r="D78" s="6" t="inlineStr">
        <is>
          <t>High Street</t>
        </is>
      </c>
      <c r="E78" s="6" t="n">
        <v>54872.82</v>
      </c>
      <c r="F78" s="6" t="n">
        <v>5962</v>
      </c>
      <c r="G78" s="6" t="n">
        <v>0.064</v>
      </c>
      <c r="H78" s="6" t="n">
        <v>12</v>
      </c>
      <c r="I78" s="6" t="n">
        <v>85.40000000000001</v>
      </c>
      <c r="J78" s="6" t="n">
        <v>2.58</v>
      </c>
      <c r="K78" s="6" t="n">
        <v>0</v>
      </c>
      <c r="L78" s="6" t="n">
        <v>2.9</v>
      </c>
      <c r="M78" s="6" t="n">
        <v>691112.6</v>
      </c>
      <c r="N78" s="6" t="n">
        <v>109212.83</v>
      </c>
      <c r="O78" s="8">
        <f>IF(AND(ISNUMBER(L78),ISNUMBER(J78)),0,1)</f>
        <v/>
      </c>
    </row>
    <row r="79">
      <c r="A79" s="2" t="inlineStr">
        <is>
          <t>STR-1020</t>
        </is>
      </c>
      <c r="B79" s="3" t="n">
        <v>45717</v>
      </c>
      <c r="C79" s="2" t="inlineStr">
        <is>
          <t>South</t>
        </is>
      </c>
      <c r="D79" s="2" t="inlineStr">
        <is>
          <t>High Street</t>
        </is>
      </c>
      <c r="E79" s="2" t="n">
        <v>80562.81</v>
      </c>
      <c r="F79" s="2" t="n">
        <v>7470</v>
      </c>
      <c r="G79" s="2" t="n">
        <v>0.172</v>
      </c>
      <c r="H79" s="2" t="n">
        <v>16</v>
      </c>
      <c r="I79" s="2" t="n">
        <v>83.5</v>
      </c>
      <c r="J79" s="2" t="n">
        <v>2.29</v>
      </c>
      <c r="K79" s="2" t="n">
        <v>0</v>
      </c>
      <c r="L79" s="2" t="n">
        <v>3.3</v>
      </c>
      <c r="M79" s="2" t="n">
        <v>776922.17</v>
      </c>
      <c r="N79" s="2" t="n">
        <v>150701.93</v>
      </c>
      <c r="O79" s="5">
        <f>IF(AND(ISNUMBER(L79),ISNUMBER(J79)),0,1)</f>
        <v/>
      </c>
    </row>
    <row r="80">
      <c r="A80" s="6" t="inlineStr">
        <is>
          <t>STR-1020</t>
        </is>
      </c>
      <c r="B80" s="7" t="n">
        <v>45748</v>
      </c>
      <c r="C80" s="6" t="inlineStr">
        <is>
          <t>South</t>
        </is>
      </c>
      <c r="D80" s="6" t="inlineStr">
        <is>
          <t>High Street</t>
        </is>
      </c>
      <c r="E80" s="6" t="n">
        <v>77999.89999999999</v>
      </c>
      <c r="F80" s="6" t="n">
        <v>5974</v>
      </c>
      <c r="G80" s="6" t="n">
        <v>0.252</v>
      </c>
      <c r="H80" s="6" t="n">
        <v>14</v>
      </c>
      <c r="I80" s="6" t="n">
        <v>81.3</v>
      </c>
      <c r="J80" s="6" t="n">
        <v>2.39</v>
      </c>
      <c r="K80" s="6" t="n">
        <v>0</v>
      </c>
      <c r="L80" s="6" t="n">
        <v>3.2</v>
      </c>
      <c r="M80" s="6" t="n">
        <v>636561.34</v>
      </c>
      <c r="N80" s="6" t="n">
        <v>93861.06</v>
      </c>
      <c r="O80" s="8">
        <f>IF(AND(ISNUMBER(L80),ISNUMBER(J80)),0,1)</f>
        <v/>
      </c>
    </row>
    <row r="81">
      <c r="A81" s="2" t="inlineStr">
        <is>
          <t>STR-1021</t>
        </is>
      </c>
      <c r="B81" s="3" t="n">
        <v>45658</v>
      </c>
      <c r="C81" s="2" t="inlineStr">
        <is>
          <t>West</t>
        </is>
      </c>
      <c r="D81" s="2" t="inlineStr">
        <is>
          <t>Mall</t>
        </is>
      </c>
      <c r="E81" s="2" t="n">
        <v>60881.01</v>
      </c>
      <c r="F81" s="2" t="n">
        <v>5410</v>
      </c>
      <c r="G81" s="2" t="n">
        <v>0.179</v>
      </c>
      <c r="H81" s="2" t="n">
        <v>15</v>
      </c>
      <c r="I81" s="2" t="n">
        <v>83.90000000000001</v>
      </c>
      <c r="J81" s="2" t="n">
        <v>5.24</v>
      </c>
      <c r="K81" s="2" t="n">
        <v>0</v>
      </c>
      <c r="L81" s="2" t="n">
        <v>4.6</v>
      </c>
      <c r="M81" s="2" t="n">
        <v>621369.58</v>
      </c>
      <c r="N81" s="2" t="n">
        <v>85493.64</v>
      </c>
      <c r="O81" s="5">
        <f>IF(AND(ISNUMBER(L81),ISNUMBER(J81)),0,1)</f>
        <v/>
      </c>
    </row>
    <row r="82">
      <c r="A82" s="6" t="inlineStr">
        <is>
          <t>STR-1021</t>
        </is>
      </c>
      <c r="B82" s="7" t="n">
        <v>45689</v>
      </c>
      <c r="C82" s="6" t="inlineStr">
        <is>
          <t>West</t>
        </is>
      </c>
      <c r="D82" s="6" t="inlineStr">
        <is>
          <t>Mall</t>
        </is>
      </c>
      <c r="E82" s="6" t="n">
        <v>60628.38</v>
      </c>
      <c r="F82" s="6" t="n">
        <v>4451</v>
      </c>
      <c r="G82" s="6" t="n">
        <v>0.095</v>
      </c>
      <c r="H82" s="6" t="n">
        <v>10</v>
      </c>
      <c r="I82" s="6" t="n">
        <v>89.59999999999999</v>
      </c>
      <c r="J82" s="6" t="n">
        <v>3.17</v>
      </c>
      <c r="K82" s="6" t="n">
        <v>0</v>
      </c>
      <c r="L82" s="6" t="n">
        <v>4.6</v>
      </c>
      <c r="M82" s="6" t="n">
        <v>682208.01</v>
      </c>
      <c r="N82" s="6" t="n">
        <v>110318.84</v>
      </c>
      <c r="O82" s="8">
        <f>IF(AND(ISNUMBER(L82),ISNUMBER(J82)),0,1)</f>
        <v/>
      </c>
    </row>
    <row r="83">
      <c r="A83" s="2" t="inlineStr">
        <is>
          <t>STR-1021</t>
        </is>
      </c>
      <c r="B83" s="3" t="n">
        <v>45717</v>
      </c>
      <c r="C83" s="2" t="inlineStr">
        <is>
          <t>West</t>
        </is>
      </c>
      <c r="D83" s="2" t="inlineStr">
        <is>
          <t>Mall</t>
        </is>
      </c>
      <c r="E83" s="2" t="n">
        <v>72731.14</v>
      </c>
      <c r="F83" s="2" t="n">
        <v>4644</v>
      </c>
      <c r="G83" s="2" t="n">
        <v>0.08400000000000001</v>
      </c>
      <c r="H83" s="2" t="n">
        <v>15</v>
      </c>
      <c r="I83" s="2" t="n">
        <v>87.09999999999999</v>
      </c>
      <c r="J83" s="2" t="n">
        <v>2.66</v>
      </c>
      <c r="K83" s="2" t="n">
        <v>0</v>
      </c>
      <c r="L83" s="2" t="n">
        <v>4.6</v>
      </c>
      <c r="M83" s="2" t="n">
        <v>727241.86</v>
      </c>
      <c r="N83" s="2" t="n">
        <v>155810.3</v>
      </c>
      <c r="O83" s="5">
        <f>IF(AND(ISNUMBER(L83),ISNUMBER(J83)),0,1)</f>
        <v/>
      </c>
    </row>
    <row r="84">
      <c r="A84" s="6" t="inlineStr">
        <is>
          <t>STR-1021</t>
        </is>
      </c>
      <c r="B84" s="7" t="n">
        <v>45748</v>
      </c>
      <c r="C84" s="6" t="inlineStr">
        <is>
          <t>West</t>
        </is>
      </c>
      <c r="D84" s="6" t="inlineStr">
        <is>
          <t>Mall</t>
        </is>
      </c>
      <c r="E84" s="6" t="n">
        <v>36475.71</v>
      </c>
      <c r="F84" s="6" t="n">
        <v>3559</v>
      </c>
      <c r="G84" s="6" t="n">
        <v>0.03</v>
      </c>
      <c r="H84" s="6" t="n">
        <v>8</v>
      </c>
      <c r="I84" s="6" t="n">
        <v>83.59999999999999</v>
      </c>
      <c r="J84" s="6" t="n">
        <v>1.41</v>
      </c>
      <c r="K84" s="6" t="n">
        <v>0</v>
      </c>
      <c r="L84" s="6" t="n">
        <v>4.2</v>
      </c>
      <c r="M84" s="6" t="n">
        <v>569100.78</v>
      </c>
      <c r="N84" s="6" t="n">
        <v>104808.78</v>
      </c>
      <c r="O84" s="8">
        <f>IF(AND(ISNUMBER(L84),ISNUMBER(J84)),0,1)</f>
        <v/>
      </c>
    </row>
    <row r="85">
      <c r="A85" s="2" t="inlineStr">
        <is>
          <t>STR-1022</t>
        </is>
      </c>
      <c r="B85" s="3" t="n">
        <v>45658</v>
      </c>
      <c r="C85" s="2" t="inlineStr">
        <is>
          <t>West</t>
        </is>
      </c>
      <c r="D85" s="2" t="inlineStr">
        <is>
          <t>High Street</t>
        </is>
      </c>
      <c r="E85" s="2" t="n">
        <v>55388.11</v>
      </c>
      <c r="F85" s="2" t="n">
        <v>3091</v>
      </c>
      <c r="G85" s="2" t="n">
        <v>0.108</v>
      </c>
      <c r="H85" s="2" t="n">
        <v>7</v>
      </c>
      <c r="I85" s="2" t="n">
        <v>85.40000000000001</v>
      </c>
      <c r="J85" s="2" t="n">
        <v>7.34</v>
      </c>
      <c r="K85" s="2" t="n">
        <v>0</v>
      </c>
      <c r="L85" s="2" t="n">
        <v>4.9</v>
      </c>
      <c r="M85" s="2" t="n">
        <v>574436.29</v>
      </c>
      <c r="N85" s="2" t="n">
        <v>80271.99000000001</v>
      </c>
      <c r="O85" s="5">
        <f>IF(AND(ISNUMBER(L85),ISNUMBER(J85)),0,1)</f>
        <v/>
      </c>
    </row>
    <row r="86">
      <c r="A86" s="6" t="inlineStr">
        <is>
          <t>STR-1022</t>
        </is>
      </c>
      <c r="B86" s="7" t="n">
        <v>45717</v>
      </c>
      <c r="C86" s="6" t="inlineStr">
        <is>
          <t>West</t>
        </is>
      </c>
      <c r="D86" s="6" t="inlineStr">
        <is>
          <t>High Street</t>
        </is>
      </c>
      <c r="E86" s="6" t="n">
        <v>78231.91</v>
      </c>
      <c r="F86" s="6" t="n">
        <v>3788</v>
      </c>
      <c r="G86" s="6" t="n">
        <v>0.059</v>
      </c>
      <c r="H86" s="6" t="n">
        <v>11</v>
      </c>
      <c r="I86" s="6" t="n">
        <v>88.5</v>
      </c>
      <c r="J86" s="6" t="n">
        <v>15.51</v>
      </c>
      <c r="K86" s="6" t="n">
        <v>0</v>
      </c>
      <c r="L86" s="6" t="n">
        <v>4.3</v>
      </c>
      <c r="M86" s="6" t="n">
        <v>614596.3199999999</v>
      </c>
      <c r="N86" s="6" t="n">
        <v>131199.41</v>
      </c>
      <c r="O86" s="8">
        <f>IF(AND(ISNUMBER(L86),ISNUMBER(J86)),0,1)</f>
        <v/>
      </c>
    </row>
    <row r="87">
      <c r="A87" s="2" t="inlineStr">
        <is>
          <t>STR-1022</t>
        </is>
      </c>
      <c r="B87" s="3" t="n">
        <v>45748</v>
      </c>
      <c r="C87" s="2" t="inlineStr">
        <is>
          <t>West</t>
        </is>
      </c>
      <c r="D87" s="2" t="inlineStr">
        <is>
          <t>High Street</t>
        </is>
      </c>
      <c r="E87" s="2" t="n">
        <v>18996.32</v>
      </c>
      <c r="F87" s="2" t="n">
        <v>1260</v>
      </c>
      <c r="G87" s="2" t="n">
        <v>0.145</v>
      </c>
      <c r="H87" s="2" t="n">
        <v>9</v>
      </c>
      <c r="I87" s="2" t="n">
        <v>86.40000000000001</v>
      </c>
      <c r="J87" s="2" t="n">
        <v>4.31</v>
      </c>
      <c r="K87" s="2" t="n">
        <v>0</v>
      </c>
      <c r="L87" s="2" t="n">
        <v>4.6</v>
      </c>
      <c r="M87" s="2" t="n">
        <v>450711.92</v>
      </c>
      <c r="N87" s="2" t="n">
        <v>90043.75999999999</v>
      </c>
      <c r="O87" s="5">
        <f>IF(AND(ISNUMBER(L87),ISNUMBER(J87)),0,1)</f>
        <v/>
      </c>
    </row>
    <row r="88">
      <c r="A88" s="6" t="inlineStr">
        <is>
          <t>STR-1023</t>
        </is>
      </c>
      <c r="B88" s="7" t="n">
        <v>45658</v>
      </c>
      <c r="C88" s="6" t="inlineStr">
        <is>
          <t>South</t>
        </is>
      </c>
      <c r="D88" s="6" t="inlineStr">
        <is>
          <t>Mall</t>
        </is>
      </c>
      <c r="E88" s="6" t="n">
        <v>50517.94</v>
      </c>
      <c r="F88" s="6" t="n">
        <v>7024</v>
      </c>
      <c r="G88" s="6" t="n">
        <v>0.029</v>
      </c>
      <c r="H88" s="6" t="n">
        <v>18</v>
      </c>
      <c r="I88" s="6" t="n">
        <v>79.2</v>
      </c>
      <c r="J88" s="6" t="n">
        <v>6.61</v>
      </c>
      <c r="K88" s="6" t="n">
        <v>1</v>
      </c>
      <c r="L88" s="6" t="n">
        <v>4.1</v>
      </c>
      <c r="M88" s="6" t="n">
        <v>711213.46</v>
      </c>
      <c r="N88" s="6" t="n">
        <v>105863.26</v>
      </c>
      <c r="O88" s="8">
        <f>IF(AND(ISNUMBER(L88),ISNUMBER(J88)),0,1)</f>
        <v/>
      </c>
    </row>
    <row r="89">
      <c r="A89" s="2" t="inlineStr">
        <is>
          <t>STR-1023</t>
        </is>
      </c>
      <c r="B89" s="3" t="n">
        <v>45689</v>
      </c>
      <c r="C89" s="2" t="inlineStr">
        <is>
          <t>South</t>
        </is>
      </c>
      <c r="D89" s="2" t="inlineStr">
        <is>
          <t>Mall</t>
        </is>
      </c>
      <c r="E89" s="2" t="n">
        <v>141540.29</v>
      </c>
      <c r="F89" s="2" t="n">
        <v>5400</v>
      </c>
      <c r="G89" s="2" t="n">
        <v>0.013</v>
      </c>
      <c r="H89" s="2" t="n">
        <v>12</v>
      </c>
      <c r="I89" s="2" t="n">
        <v>87</v>
      </c>
      <c r="J89" s="2" t="n">
        <v>4.26</v>
      </c>
      <c r="K89" s="2" t="n">
        <v>0</v>
      </c>
      <c r="L89" s="2" t="n">
        <v>4.5</v>
      </c>
      <c r="M89" s="2" t="n">
        <v>627171.9</v>
      </c>
      <c r="N89" s="2" t="n">
        <v>105772.75</v>
      </c>
      <c r="O89" s="5">
        <f>IF(AND(ISNUMBER(L89),ISNUMBER(J89)),0,1)</f>
        <v/>
      </c>
    </row>
    <row r="90">
      <c r="A90" s="6" t="inlineStr">
        <is>
          <t>STR-1023</t>
        </is>
      </c>
      <c r="B90" s="7" t="n">
        <v>45717</v>
      </c>
      <c r="C90" s="6" t="inlineStr">
        <is>
          <t>South</t>
        </is>
      </c>
      <c r="D90" s="6" t="inlineStr">
        <is>
          <t>Mall</t>
        </is>
      </c>
      <c r="E90" s="6" t="n">
        <v>82116.19</v>
      </c>
      <c r="F90" s="6" t="n">
        <v>5988</v>
      </c>
      <c r="G90" s="6" t="n">
        <v>0.04</v>
      </c>
      <c r="H90" s="6" t="n">
        <v>17</v>
      </c>
      <c r="I90" s="6" t="n">
        <v>91.8</v>
      </c>
      <c r="J90" s="6" t="n">
        <v>5.75</v>
      </c>
      <c r="K90" s="6" t="n">
        <v>0</v>
      </c>
      <c r="L90" s="6" t="n">
        <v>4.7</v>
      </c>
      <c r="M90" s="6" t="n">
        <v>739852.58</v>
      </c>
      <c r="N90" s="6" t="n">
        <v>129386.43</v>
      </c>
      <c r="O90" s="8">
        <f>IF(AND(ISNUMBER(L90),ISNUMBER(J90)),0,1)</f>
        <v/>
      </c>
    </row>
    <row r="91">
      <c r="A91" s="2" t="inlineStr">
        <is>
          <t>STR-1023</t>
        </is>
      </c>
      <c r="B91" s="3" t="n">
        <v>45748</v>
      </c>
      <c r="C91" s="2" t="inlineStr">
        <is>
          <t>South</t>
        </is>
      </c>
      <c r="D91" s="2" t="inlineStr">
        <is>
          <t>Mall</t>
        </is>
      </c>
      <c r="E91" s="2" t="n">
        <v>31207.51</v>
      </c>
      <c r="F91" s="2" t="n">
        <v>3701</v>
      </c>
      <c r="G91" s="2" t="n">
        <v>0.043</v>
      </c>
      <c r="H91" s="2" t="n">
        <v>11</v>
      </c>
      <c r="I91" s="2" t="n">
        <v>84.7</v>
      </c>
      <c r="J91" s="2" t="n">
        <v>0.33</v>
      </c>
      <c r="K91" s="2" t="n">
        <v>0</v>
      </c>
      <c r="L91" s="2" t="n">
        <v>4.3</v>
      </c>
      <c r="M91" s="2" t="n">
        <v>586307.22</v>
      </c>
      <c r="N91" s="2" t="n">
        <v>73927.85000000001</v>
      </c>
      <c r="O91" s="5">
        <f>IF(AND(ISNUMBER(L91),ISNUMBER(J91)),0,1)</f>
        <v/>
      </c>
    </row>
    <row r="92">
      <c r="A92" s="6" t="inlineStr">
        <is>
          <t>STR-1024</t>
        </is>
      </c>
      <c r="B92" s="7" t="n">
        <v>45658</v>
      </c>
      <c r="C92" s="6" t="inlineStr">
        <is>
          <t>West</t>
        </is>
      </c>
      <c r="D92" s="6" t="inlineStr">
        <is>
          <t>Residential</t>
        </is>
      </c>
      <c r="E92" s="6" t="n">
        <v>38966.59</v>
      </c>
      <c r="F92" s="6" t="n">
        <v>4509</v>
      </c>
      <c r="G92" s="6" t="n">
        <v>0.194</v>
      </c>
      <c r="H92" s="6" t="n">
        <v>14</v>
      </c>
      <c r="I92" s="6" t="n">
        <v>91.09999999999999</v>
      </c>
      <c r="J92" s="6" t="n">
        <v>2.92</v>
      </c>
      <c r="K92" s="6" t="n">
        <v>0</v>
      </c>
      <c r="L92" s="6" t="n">
        <v>4.6</v>
      </c>
      <c r="M92" s="6" t="n">
        <v>585937.48</v>
      </c>
      <c r="N92" s="6" t="n">
        <v>82624.2</v>
      </c>
      <c r="O92" s="8">
        <f>IF(AND(ISNUMBER(L92),ISNUMBER(J92)),0,1)</f>
        <v/>
      </c>
    </row>
    <row r="93">
      <c r="A93" s="2" t="inlineStr">
        <is>
          <t>STR-1024</t>
        </is>
      </c>
      <c r="B93" s="3" t="n">
        <v>45689</v>
      </c>
      <c r="C93" s="2" t="inlineStr">
        <is>
          <t>West</t>
        </is>
      </c>
      <c r="D93" s="2" t="inlineStr">
        <is>
          <t>Residential</t>
        </is>
      </c>
      <c r="E93" s="2" t="n">
        <v>67439.3</v>
      </c>
      <c r="F93" s="2" t="n">
        <v>6477</v>
      </c>
      <c r="G93" s="2" t="n">
        <v>0</v>
      </c>
      <c r="H93" s="2" t="n">
        <v>16</v>
      </c>
      <c r="I93" s="2" t="n">
        <v>90.90000000000001</v>
      </c>
      <c r="J93" s="2" t="n">
        <v>1.64</v>
      </c>
      <c r="K93" s="2" t="n">
        <v>0</v>
      </c>
      <c r="L93" s="2" t="n">
        <v>4.5</v>
      </c>
      <c r="M93" s="2" t="n">
        <v>753473.55</v>
      </c>
      <c r="N93" s="2" t="n">
        <v>151527.22</v>
      </c>
      <c r="O93" s="5">
        <f>IF(AND(ISNUMBER(L93),ISNUMBER(J93)),0,1)</f>
        <v/>
      </c>
    </row>
    <row r="94">
      <c r="A94" s="6" t="inlineStr">
        <is>
          <t>STR-1024</t>
        </is>
      </c>
      <c r="B94" s="7" t="n">
        <v>45717</v>
      </c>
      <c r="C94" s="6" t="inlineStr">
        <is>
          <t>West</t>
        </is>
      </c>
      <c r="D94" s="6" t="inlineStr">
        <is>
          <t>Residential</t>
        </is>
      </c>
      <c r="E94" s="6" t="n">
        <v>86421.88</v>
      </c>
      <c r="F94" s="6" t="n">
        <v>7970</v>
      </c>
      <c r="G94" s="6" t="n">
        <v>0.073</v>
      </c>
      <c r="H94" s="6" t="n">
        <v>17</v>
      </c>
      <c r="I94" s="6" t="n">
        <v>91.3</v>
      </c>
      <c r="J94" s="6" t="n">
        <v>0.8</v>
      </c>
      <c r="K94" s="6" t="n">
        <v>0</v>
      </c>
      <c r="L94" s="6" t="n">
        <v>5</v>
      </c>
      <c r="M94" s="6" t="n">
        <v>838250.3199999999</v>
      </c>
      <c r="N94" s="6" t="n">
        <v>122939.34</v>
      </c>
      <c r="O94" s="8">
        <f>IF(AND(ISNUMBER(L94),ISNUMBER(J94)),0,1)</f>
        <v/>
      </c>
    </row>
    <row r="95">
      <c r="A95" s="2" t="inlineStr">
        <is>
          <t>STR-1024</t>
        </is>
      </c>
      <c r="B95" s="3" t="n">
        <v>45748</v>
      </c>
      <c r="C95" s="2" t="inlineStr">
        <is>
          <t>West</t>
        </is>
      </c>
      <c r="D95" s="2" t="inlineStr">
        <is>
          <t>Residential</t>
        </is>
      </c>
      <c r="E95" s="2" t="n">
        <v>9534.65</v>
      </c>
      <c r="F95" s="2" t="n">
        <v>6057</v>
      </c>
      <c r="G95" s="2" t="n">
        <v>0.074</v>
      </c>
      <c r="H95" s="2" t="n">
        <v>15</v>
      </c>
      <c r="I95" s="2" t="n">
        <v>94.09999999999999</v>
      </c>
      <c r="J95" s="2" t="n">
        <v>5.79</v>
      </c>
      <c r="K95" s="2" t="n">
        <v>0</v>
      </c>
      <c r="L95" s="2" t="n">
        <v>4.5</v>
      </c>
      <c r="M95" s="2" t="n">
        <v>607898.12</v>
      </c>
      <c r="N95" s="2" t="n">
        <v>135404.85</v>
      </c>
      <c r="O95" s="5">
        <f>IF(AND(ISNUMBER(L95),ISNUMBER(J95)),0,1)</f>
        <v/>
      </c>
    </row>
    <row r="96">
      <c r="A96" s="6" t="inlineStr">
        <is>
          <t>STR-1025</t>
        </is>
      </c>
      <c r="B96" s="7" t="n">
        <v>45658</v>
      </c>
      <c r="C96" s="6" t="inlineStr">
        <is>
          <t>West</t>
        </is>
      </c>
      <c r="D96" s="6" t="inlineStr">
        <is>
          <t>Mall</t>
        </is>
      </c>
      <c r="E96" s="6" t="n">
        <v>61132.07</v>
      </c>
      <c r="F96" s="6" t="n">
        <v>6394</v>
      </c>
      <c r="G96" s="6" t="n">
        <v>0.163</v>
      </c>
      <c r="H96" s="6" t="n">
        <v>19</v>
      </c>
      <c r="I96" s="6" t="n">
        <v>91</v>
      </c>
      <c r="J96" s="6" t="n">
        <v>19.6</v>
      </c>
      <c r="K96" s="6" t="n">
        <v>0</v>
      </c>
      <c r="L96" s="6" t="n">
        <v>4.4</v>
      </c>
      <c r="M96" s="6" t="n">
        <v>691113.62</v>
      </c>
      <c r="N96" s="6" t="n">
        <v>135145.44</v>
      </c>
      <c r="O96" s="8">
        <f>IF(AND(ISNUMBER(L96),ISNUMBER(J96)),0,1)</f>
        <v/>
      </c>
    </row>
    <row r="97">
      <c r="A97" s="2" t="inlineStr">
        <is>
          <t>STR-1025</t>
        </is>
      </c>
      <c r="B97" s="3" t="n">
        <v>45689</v>
      </c>
      <c r="C97" s="2" t="inlineStr">
        <is>
          <t>West</t>
        </is>
      </c>
      <c r="D97" s="2" t="inlineStr">
        <is>
          <t>Mall</t>
        </is>
      </c>
      <c r="E97" s="2" t="n">
        <v>78839.39</v>
      </c>
      <c r="F97" s="2" t="n">
        <v>5150</v>
      </c>
      <c r="G97" s="2" t="n">
        <v>0.171</v>
      </c>
      <c r="H97" s="2" t="n">
        <v>13</v>
      </c>
      <c r="I97" s="2" t="n">
        <v>85.8</v>
      </c>
      <c r="J97" s="2" t="n">
        <v>7.57</v>
      </c>
      <c r="K97" s="2" t="n">
        <v>0</v>
      </c>
      <c r="L97" s="2" t="n">
        <v>4.3</v>
      </c>
      <c r="M97" s="2" t="n">
        <v>735509.4</v>
      </c>
      <c r="N97" s="2" t="n">
        <v>83895.96000000001</v>
      </c>
      <c r="O97" s="5">
        <f>IF(AND(ISNUMBER(L97),ISNUMBER(J97)),0,1)</f>
        <v/>
      </c>
    </row>
    <row r="98">
      <c r="A98" s="6" t="inlineStr">
        <is>
          <t>STR-1025</t>
        </is>
      </c>
      <c r="B98" s="7" t="n">
        <v>45748</v>
      </c>
      <c r="C98" s="6" t="inlineStr">
        <is>
          <t>West</t>
        </is>
      </c>
      <c r="D98" s="6" t="inlineStr">
        <is>
          <t>Mall</t>
        </is>
      </c>
      <c r="E98" s="6" t="n">
        <v>55101.1</v>
      </c>
      <c r="F98" s="6" t="n">
        <v>5281</v>
      </c>
      <c r="G98" s="6" t="n">
        <v>0.189</v>
      </c>
      <c r="H98" s="6" t="n">
        <v>11</v>
      </c>
      <c r="I98" s="6" t="n">
        <v>91</v>
      </c>
      <c r="J98" s="6" t="n">
        <v>2.7</v>
      </c>
      <c r="K98" s="6" t="n">
        <v>0</v>
      </c>
      <c r="L98" s="6" t="n">
        <v>4.4</v>
      </c>
      <c r="M98" s="6" t="n">
        <v>675177.6800000001</v>
      </c>
      <c r="N98" s="6" t="n">
        <v>105628.68</v>
      </c>
      <c r="O98" s="8">
        <f>IF(AND(ISNUMBER(L98),ISNUMBER(J98)),0,1)</f>
        <v/>
      </c>
    </row>
    <row r="99">
      <c r="A99" s="2" t="inlineStr">
        <is>
          <t>STR-1026</t>
        </is>
      </c>
      <c r="B99" s="3" t="n">
        <v>45658</v>
      </c>
      <c r="C99" s="2" t="inlineStr">
        <is>
          <t>East</t>
        </is>
      </c>
      <c r="D99" s="2" t="inlineStr">
        <is>
          <t>Mall</t>
        </is>
      </c>
      <c r="E99" s="2" t="n">
        <v>53084.76</v>
      </c>
      <c r="F99" s="2" t="n">
        <v>3642</v>
      </c>
      <c r="G99" s="2" t="n">
        <v>0.15</v>
      </c>
      <c r="H99" s="2" t="n">
        <v>12</v>
      </c>
      <c r="I99" s="2" t="n">
        <v>91.40000000000001</v>
      </c>
      <c r="J99" s="2" t="n">
        <v>0.2</v>
      </c>
      <c r="K99" s="2" t="n">
        <v>0</v>
      </c>
      <c r="L99" s="2" t="n">
        <v>4.4</v>
      </c>
      <c r="M99" s="2" t="n">
        <v>635181.35</v>
      </c>
      <c r="N99" s="2" t="n">
        <v>83341.25</v>
      </c>
      <c r="O99" s="5">
        <f>IF(AND(ISNUMBER(L99),ISNUMBER(J99)),0,1)</f>
        <v/>
      </c>
    </row>
    <row r="100">
      <c r="A100" s="6" t="inlineStr">
        <is>
          <t>STR-1026</t>
        </is>
      </c>
      <c r="B100" s="7" t="n">
        <v>45689</v>
      </c>
      <c r="C100" s="6" t="inlineStr">
        <is>
          <t>East</t>
        </is>
      </c>
      <c r="D100" s="6" t="inlineStr">
        <is>
          <t>Mall</t>
        </is>
      </c>
      <c r="E100" s="6" t="n">
        <v>63101.59</v>
      </c>
      <c r="F100" s="6" t="n">
        <v>4373</v>
      </c>
      <c r="G100" s="6" t="n">
        <v>0.173</v>
      </c>
      <c r="H100" s="6" t="n">
        <v>14</v>
      </c>
      <c r="I100" s="6" t="n">
        <v>90.40000000000001</v>
      </c>
      <c r="J100" s="6" t="n">
        <v>7.87</v>
      </c>
      <c r="K100" s="6" t="n">
        <v>0</v>
      </c>
      <c r="L100" s="6" t="n">
        <v>4.7</v>
      </c>
      <c r="M100" s="6" t="n">
        <v>586626.9399999999</v>
      </c>
      <c r="N100" s="6" t="n">
        <v>86498.55</v>
      </c>
      <c r="O100" s="8">
        <f>IF(AND(ISNUMBER(L100),ISNUMBER(J100)),0,1)</f>
        <v/>
      </c>
    </row>
    <row r="101">
      <c r="A101" s="2" t="inlineStr">
        <is>
          <t>STR-1026</t>
        </is>
      </c>
      <c r="B101" s="3" t="n">
        <v>45717</v>
      </c>
      <c r="C101" s="2" t="inlineStr">
        <is>
          <t>East</t>
        </is>
      </c>
      <c r="D101" s="2" t="inlineStr">
        <is>
          <t>Mall</t>
        </is>
      </c>
      <c r="E101" s="2" t="n">
        <v>90084.39999999999</v>
      </c>
      <c r="F101" s="2" t="n">
        <v>6832</v>
      </c>
      <c r="G101" s="2" t="n">
        <v>0.185</v>
      </c>
      <c r="H101" s="2" t="n">
        <v>14</v>
      </c>
      <c r="I101" s="2" t="n">
        <v>80.5</v>
      </c>
      <c r="J101" s="2" t="n">
        <v>0.77</v>
      </c>
      <c r="K101" s="2" t="n">
        <v>1</v>
      </c>
      <c r="L101" s="2" t="n">
        <v>4.4</v>
      </c>
      <c r="M101" s="2" t="n">
        <v>740102.64</v>
      </c>
      <c r="N101" s="2" t="n">
        <v>114299.07</v>
      </c>
      <c r="O101" s="5">
        <f>IF(AND(ISNUMBER(L101),ISNUMBER(J101)),0,1)</f>
        <v/>
      </c>
    </row>
    <row r="102">
      <c r="A102" s="6" t="inlineStr">
        <is>
          <t>STR-1026</t>
        </is>
      </c>
      <c r="B102" s="7" t="n">
        <v>45748</v>
      </c>
      <c r="C102" s="6" t="inlineStr">
        <is>
          <t>East</t>
        </is>
      </c>
      <c r="D102" s="6" t="inlineStr">
        <is>
          <t>Mall</t>
        </is>
      </c>
      <c r="E102" s="6" t="n">
        <v>32266.64</v>
      </c>
      <c r="F102" s="6" t="n">
        <v>2414</v>
      </c>
      <c r="G102" s="6" t="n">
        <v>0.08</v>
      </c>
      <c r="H102" s="6" t="n">
        <v>7</v>
      </c>
      <c r="I102" s="6" t="n">
        <v>92.09999999999999</v>
      </c>
      <c r="J102" s="6" t="n">
        <v>1.48</v>
      </c>
      <c r="K102" s="6" t="n">
        <v>0</v>
      </c>
      <c r="L102" s="6" t="n">
        <v>5</v>
      </c>
      <c r="M102" s="6" t="n">
        <v>625514.04</v>
      </c>
      <c r="N102" s="6" t="n">
        <v>120685.08</v>
      </c>
      <c r="O102" s="8">
        <f>IF(AND(ISNUMBER(L102),ISNUMBER(J102)),0,1)</f>
        <v/>
      </c>
    </row>
    <row r="103">
      <c r="A103" s="2" t="inlineStr">
        <is>
          <t>STR-1027</t>
        </is>
      </c>
      <c r="B103" s="3" t="n">
        <v>45658</v>
      </c>
      <c r="C103" s="2" t="inlineStr">
        <is>
          <t>West</t>
        </is>
      </c>
      <c r="D103" s="2" t="inlineStr">
        <is>
          <t>High Street</t>
        </is>
      </c>
      <c r="E103" s="2" t="n">
        <v>57919.07</v>
      </c>
      <c r="F103" s="2" t="n">
        <v>7374</v>
      </c>
      <c r="G103" s="2" t="n">
        <v>0.103</v>
      </c>
      <c r="H103" s="2" t="n">
        <v>21</v>
      </c>
      <c r="I103" s="2" t="n">
        <v>82.3</v>
      </c>
      <c r="J103" s="2" t="n">
        <v>2.87</v>
      </c>
      <c r="K103" s="2" t="n">
        <v>0</v>
      </c>
      <c r="L103" s="2" t="n">
        <v>2.9</v>
      </c>
      <c r="M103" s="2" t="n">
        <v>727227.2</v>
      </c>
      <c r="N103" s="2" t="n">
        <v>121292.01</v>
      </c>
      <c r="O103" s="5">
        <f>IF(AND(ISNUMBER(L103),ISNUMBER(J103)),0,1)</f>
        <v/>
      </c>
    </row>
    <row r="104">
      <c r="A104" s="6" t="inlineStr">
        <is>
          <t>STR-1027</t>
        </is>
      </c>
      <c r="B104" s="7" t="n">
        <v>45689</v>
      </c>
      <c r="C104" s="6" t="inlineStr">
        <is>
          <t>West</t>
        </is>
      </c>
      <c r="D104" s="6" t="inlineStr">
        <is>
          <t>High Street</t>
        </is>
      </c>
      <c r="E104" s="6" t="n">
        <v>74679.35000000001</v>
      </c>
      <c r="F104" s="6" t="n">
        <v>8739</v>
      </c>
      <c r="G104" s="6" t="n">
        <v>0.056</v>
      </c>
      <c r="H104" s="6" t="n">
        <v>21</v>
      </c>
      <c r="I104" s="6" t="n">
        <v>91.8</v>
      </c>
      <c r="J104" s="6" t="n">
        <v>2.83</v>
      </c>
      <c r="K104" s="6" t="n">
        <v>0</v>
      </c>
      <c r="L104" s="6" t="n">
        <v>3</v>
      </c>
      <c r="M104" s="6" t="n">
        <v>783797.89</v>
      </c>
      <c r="N104" s="6" t="n">
        <v>157620.7</v>
      </c>
      <c r="O104" s="8">
        <f>IF(AND(ISNUMBER(L104),ISNUMBER(J104)),0,1)</f>
        <v/>
      </c>
    </row>
    <row r="105">
      <c r="A105" s="2" t="inlineStr">
        <is>
          <t>STR-1027</t>
        </is>
      </c>
      <c r="B105" s="3" t="n">
        <v>45717</v>
      </c>
      <c r="C105" s="2" t="inlineStr">
        <is>
          <t>West</t>
        </is>
      </c>
      <c r="D105" s="2" t="inlineStr">
        <is>
          <t>High Street</t>
        </is>
      </c>
      <c r="E105" s="2" t="n">
        <v>64294.23</v>
      </c>
      <c r="F105" s="2" t="n">
        <v>6992</v>
      </c>
      <c r="G105" s="2" t="n">
        <v>0.133</v>
      </c>
      <c r="H105" s="2" t="n">
        <v>14</v>
      </c>
      <c r="I105" s="2" t="n">
        <v>94.09999999999999</v>
      </c>
      <c r="J105" s="2" t="n">
        <v>0.25</v>
      </c>
      <c r="K105" s="2" t="n">
        <v>0</v>
      </c>
      <c r="L105" s="2" t="n">
        <v>3</v>
      </c>
      <c r="M105" s="2" t="n">
        <v>795153.84</v>
      </c>
      <c r="N105" s="2" t="n">
        <v>143194.21</v>
      </c>
      <c r="O105" s="5">
        <f>IF(AND(ISNUMBER(L105),ISNUMBER(J105)),0,1)</f>
        <v/>
      </c>
    </row>
    <row r="106">
      <c r="A106" s="6" t="inlineStr">
        <is>
          <t>STR-1027</t>
        </is>
      </c>
      <c r="B106" s="7" t="n">
        <v>45748</v>
      </c>
      <c r="C106" s="6" t="inlineStr">
        <is>
          <t>West</t>
        </is>
      </c>
      <c r="D106" s="6" t="inlineStr">
        <is>
          <t>High Street</t>
        </is>
      </c>
      <c r="E106" s="6" t="n">
        <v>31042.03</v>
      </c>
      <c r="F106" s="6" t="n">
        <v>7107</v>
      </c>
      <c r="G106" s="6" t="n">
        <v>0.051</v>
      </c>
      <c r="H106" s="6" t="n">
        <v>15</v>
      </c>
      <c r="I106" s="6" t="n">
        <v>87</v>
      </c>
      <c r="J106" s="6" t="n">
        <v>13.33</v>
      </c>
      <c r="K106" s="6" t="n">
        <v>0</v>
      </c>
      <c r="L106" s="6" t="n">
        <v>3.2</v>
      </c>
      <c r="M106" s="6" t="n">
        <v>665594.9399999999</v>
      </c>
      <c r="N106" s="6" t="n">
        <v>127597.34</v>
      </c>
      <c r="O106" s="8">
        <f>IF(AND(ISNUMBER(L106),ISNUMBER(J106)),0,1)</f>
        <v/>
      </c>
    </row>
    <row r="107">
      <c r="A107" s="2" t="inlineStr">
        <is>
          <t>STR-1028</t>
        </is>
      </c>
      <c r="B107" s="3" t="n">
        <v>45658</v>
      </c>
      <c r="C107" s="2" t="inlineStr">
        <is>
          <t>East</t>
        </is>
      </c>
      <c r="D107" s="2" t="inlineStr">
        <is>
          <t>Mall</t>
        </is>
      </c>
      <c r="E107" s="2" t="n">
        <v>75265.02</v>
      </c>
      <c r="F107" s="2" t="n">
        <v>6975</v>
      </c>
      <c r="G107" s="2" t="n">
        <v>0.157</v>
      </c>
      <c r="H107" s="2" t="n">
        <v>20</v>
      </c>
      <c r="I107" s="2" t="n">
        <v>73.8</v>
      </c>
      <c r="J107" s="2" t="n">
        <v>6.35</v>
      </c>
      <c r="K107" s="2" t="n">
        <v>1</v>
      </c>
      <c r="L107" s="2" t="n">
        <v>3.8</v>
      </c>
      <c r="M107" s="2" t="n">
        <v>709478.39</v>
      </c>
      <c r="N107" s="2" t="n">
        <v>71294.27</v>
      </c>
      <c r="O107" s="5">
        <f>IF(AND(ISNUMBER(L107),ISNUMBER(J107)),0,1)</f>
        <v/>
      </c>
    </row>
    <row r="108">
      <c r="A108" s="6" t="inlineStr">
        <is>
          <t>STR-1028</t>
        </is>
      </c>
      <c r="B108" s="7" t="n">
        <v>45689</v>
      </c>
      <c r="C108" s="6" t="inlineStr">
        <is>
          <t>East</t>
        </is>
      </c>
      <c r="D108" s="6" t="inlineStr">
        <is>
          <t>Mall</t>
        </is>
      </c>
      <c r="E108" s="6" t="n">
        <v>69411.7</v>
      </c>
      <c r="F108" s="6" t="n">
        <v>5493</v>
      </c>
      <c r="G108" s="6" t="n">
        <v>0.292</v>
      </c>
      <c r="H108" s="6" t="n">
        <v>13</v>
      </c>
      <c r="I108" s="6" t="n">
        <v>86.5</v>
      </c>
      <c r="J108" s="6" t="n">
        <v>6.69</v>
      </c>
      <c r="K108" s="6" t="n">
        <v>0</v>
      </c>
      <c r="L108" s="6" t="n">
        <v>3.8</v>
      </c>
      <c r="M108" s="6" t="n">
        <v>664162.49</v>
      </c>
      <c r="N108" s="6" t="n">
        <v>98291.06</v>
      </c>
      <c r="O108" s="8">
        <f>IF(AND(ISNUMBER(L108),ISNUMBER(J108)),0,1)</f>
        <v/>
      </c>
    </row>
    <row r="109">
      <c r="A109" s="2" t="inlineStr">
        <is>
          <t>STR-1028</t>
        </is>
      </c>
      <c r="B109" s="3" t="n">
        <v>45717</v>
      </c>
      <c r="C109" s="2" t="inlineStr">
        <is>
          <t>East</t>
        </is>
      </c>
      <c r="D109" s="2" t="inlineStr">
        <is>
          <t>Mall</t>
        </is>
      </c>
      <c r="E109" s="2" t="n">
        <v>51056.15</v>
      </c>
      <c r="F109" s="2" t="n">
        <v>5686</v>
      </c>
      <c r="G109" s="2" t="n">
        <v>0.089</v>
      </c>
      <c r="H109" s="2" t="n">
        <v>13</v>
      </c>
      <c r="I109" s="2" t="n">
        <v>89.90000000000001</v>
      </c>
      <c r="J109" s="2" t="n">
        <v>1.28</v>
      </c>
      <c r="K109" s="2" t="n">
        <v>0</v>
      </c>
      <c r="L109" s="2" t="n">
        <v>4.2</v>
      </c>
      <c r="M109" s="2" t="n">
        <v>633494.21</v>
      </c>
      <c r="N109" s="2" t="n">
        <v>105739.47</v>
      </c>
      <c r="O109" s="5">
        <f>IF(AND(ISNUMBER(L109),ISNUMBER(J109)),0,1)</f>
        <v/>
      </c>
    </row>
    <row r="110">
      <c r="A110" s="6" t="inlineStr">
        <is>
          <t>STR-1028</t>
        </is>
      </c>
      <c r="B110" s="7" t="n">
        <v>45748</v>
      </c>
      <c r="C110" s="6" t="inlineStr">
        <is>
          <t>East</t>
        </is>
      </c>
      <c r="D110" s="6" t="inlineStr">
        <is>
          <t>Mall</t>
        </is>
      </c>
      <c r="E110" s="6" t="n">
        <v>52758.01</v>
      </c>
      <c r="F110" s="6" t="n">
        <v>4063</v>
      </c>
      <c r="G110" s="6" t="n">
        <v>0.057</v>
      </c>
      <c r="H110" s="6" t="n">
        <v>12</v>
      </c>
      <c r="I110" s="6" t="n">
        <v>91.7</v>
      </c>
      <c r="J110" s="6" t="n">
        <v>0.92</v>
      </c>
      <c r="K110" s="6" t="n">
        <v>0</v>
      </c>
      <c r="L110" s="6" t="n">
        <v>3.5</v>
      </c>
      <c r="M110" s="6" t="n">
        <v>713611.16</v>
      </c>
      <c r="N110" s="6" t="n">
        <v>129717.18</v>
      </c>
      <c r="O110" s="8">
        <f>IF(AND(ISNUMBER(L110),ISNUMBER(J110)),0,1)</f>
        <v/>
      </c>
    </row>
    <row r="111">
      <c r="A111" s="2" t="inlineStr">
        <is>
          <t>STR-1029</t>
        </is>
      </c>
      <c r="B111" s="3" t="n">
        <v>45658</v>
      </c>
      <c r="C111" s="2" t="inlineStr">
        <is>
          <t>West</t>
        </is>
      </c>
      <c r="D111" s="2" t="inlineStr">
        <is>
          <t>Mall</t>
        </is>
      </c>
      <c r="E111" s="2" t="n">
        <v>61426.04</v>
      </c>
      <c r="F111" s="2" t="n">
        <v>8966</v>
      </c>
      <c r="G111" s="2" t="n">
        <v>0.173</v>
      </c>
      <c r="H111" s="2" t="n">
        <v>22</v>
      </c>
      <c r="I111" s="2" t="n">
        <v>76.40000000000001</v>
      </c>
      <c r="J111" s="2" t="n">
        <v>1.05</v>
      </c>
      <c r="K111" s="2" t="n">
        <v>0</v>
      </c>
      <c r="L111" s="2" t="n">
        <v>3.1</v>
      </c>
      <c r="M111" s="2" t="n">
        <v>778397.97</v>
      </c>
      <c r="N111" s="2" t="n">
        <v>120044.41</v>
      </c>
      <c r="O111" s="5">
        <f>IF(AND(ISNUMBER(L111),ISNUMBER(J111)),0,1)</f>
        <v/>
      </c>
    </row>
    <row r="112">
      <c r="A112" s="6" t="inlineStr">
        <is>
          <t>STR-1029</t>
        </is>
      </c>
      <c r="B112" s="7" t="n">
        <v>45689</v>
      </c>
      <c r="C112" s="6" t="inlineStr">
        <is>
          <t>West</t>
        </is>
      </c>
      <c r="D112" s="6" t="inlineStr">
        <is>
          <t>Mall</t>
        </is>
      </c>
      <c r="E112" s="6" t="n">
        <v>80176.34</v>
      </c>
      <c r="F112" s="6" t="n">
        <v>9489</v>
      </c>
      <c r="G112" s="6" t="n">
        <v>0.142</v>
      </c>
      <c r="H112" s="6" t="n">
        <v>22</v>
      </c>
      <c r="I112" s="6" t="n">
        <v>94.3</v>
      </c>
      <c r="J112" s="6" t="n">
        <v>2.67</v>
      </c>
      <c r="K112" s="6" t="n">
        <v>0</v>
      </c>
      <c r="L112" s="6" t="n">
        <v>3.5</v>
      </c>
      <c r="M112" s="6" t="n">
        <v>873380.02</v>
      </c>
      <c r="N112" s="6" t="n">
        <v>149734.76</v>
      </c>
      <c r="O112" s="8">
        <f>IF(AND(ISNUMBER(L112),ISNUMBER(J112)),0,1)</f>
        <v/>
      </c>
    </row>
    <row r="113">
      <c r="A113" s="2" t="inlineStr">
        <is>
          <t>STR-1029</t>
        </is>
      </c>
      <c r="B113" s="3" t="n">
        <v>45717</v>
      </c>
      <c r="C113" s="2" t="inlineStr">
        <is>
          <t>West</t>
        </is>
      </c>
      <c r="D113" s="2" t="inlineStr">
        <is>
          <t>Mall</t>
        </is>
      </c>
      <c r="E113" s="2" t="n">
        <v>33605.18</v>
      </c>
      <c r="F113" s="2" t="n">
        <v>9225</v>
      </c>
      <c r="G113" s="2" t="n">
        <v>0.159</v>
      </c>
      <c r="H113" s="2" t="n">
        <v>23</v>
      </c>
      <c r="I113" s="2" t="n">
        <v>88.40000000000001</v>
      </c>
      <c r="J113" s="2" t="n">
        <v>5.91</v>
      </c>
      <c r="K113" s="2" t="n">
        <v>0</v>
      </c>
      <c r="L113" s="2" t="n">
        <v>2.8</v>
      </c>
      <c r="M113" s="2" t="n">
        <v>697287.9</v>
      </c>
      <c r="N113" s="2" t="n">
        <v>128208.33</v>
      </c>
      <c r="O113" s="5">
        <f>IF(AND(ISNUMBER(L113),ISNUMBER(J113)),0,1)</f>
        <v/>
      </c>
    </row>
    <row r="114">
      <c r="A114" s="6" t="inlineStr">
        <is>
          <t>STR-1029</t>
        </is>
      </c>
      <c r="B114" s="7" t="n">
        <v>45748</v>
      </c>
      <c r="C114" s="6" t="inlineStr">
        <is>
          <t>West</t>
        </is>
      </c>
      <c r="D114" s="6" t="inlineStr">
        <is>
          <t>Mall</t>
        </is>
      </c>
      <c r="E114" s="6" t="n">
        <v>25990.54</v>
      </c>
      <c r="F114" s="6" t="n">
        <v>9249</v>
      </c>
      <c r="G114" s="6" t="n">
        <v>0.139</v>
      </c>
      <c r="H114" s="6" t="n">
        <v>23</v>
      </c>
      <c r="I114" s="6" t="n">
        <v>92.5</v>
      </c>
      <c r="J114" s="6" t="n">
        <v>6.37</v>
      </c>
      <c r="K114" s="6" t="n">
        <v>0</v>
      </c>
      <c r="L114" s="6" t="n">
        <v>3.3</v>
      </c>
      <c r="M114" s="6" t="n">
        <v>718074.79</v>
      </c>
      <c r="N114" s="6" t="n">
        <v>115819.87</v>
      </c>
      <c r="O114" s="8">
        <f>IF(AND(ISNUMBER(L114),ISNUMBER(J114)),0,1)</f>
        <v/>
      </c>
    </row>
    <row r="115">
      <c r="A115" s="2" t="inlineStr">
        <is>
          <t>STR-1030</t>
        </is>
      </c>
      <c r="B115" s="3" t="n">
        <v>45658</v>
      </c>
      <c r="C115" s="2" t="inlineStr">
        <is>
          <t>West</t>
        </is>
      </c>
      <c r="D115" s="2" t="inlineStr">
        <is>
          <t>Residential</t>
        </is>
      </c>
      <c r="E115" s="2" t="n">
        <v>43685.14</v>
      </c>
      <c r="F115" s="2" t="n">
        <v>7821</v>
      </c>
      <c r="G115" s="2" t="n">
        <v>0.19</v>
      </c>
      <c r="H115" s="2" t="n">
        <v>17</v>
      </c>
      <c r="I115" s="2" t="n">
        <v>91</v>
      </c>
      <c r="J115" s="2" t="n">
        <v>2.49</v>
      </c>
      <c r="K115" s="2" t="n">
        <v>1</v>
      </c>
      <c r="L115" s="2" t="n">
        <v>4.7</v>
      </c>
      <c r="M115" s="2" t="n">
        <v>714942.4300000001</v>
      </c>
      <c r="N115" s="2" t="n">
        <v>94697.71000000001</v>
      </c>
      <c r="O115" s="5">
        <f>IF(AND(ISNUMBER(L115),ISNUMBER(J115)),0,1)</f>
        <v/>
      </c>
    </row>
    <row r="116">
      <c r="A116" s="6" t="inlineStr">
        <is>
          <t>STR-1030</t>
        </is>
      </c>
      <c r="B116" s="7" t="n">
        <v>45689</v>
      </c>
      <c r="C116" s="6" t="inlineStr">
        <is>
          <t>West</t>
        </is>
      </c>
      <c r="D116" s="6" t="inlineStr">
        <is>
          <t>Residential</t>
        </is>
      </c>
      <c r="E116" s="6" t="n">
        <v>57360.01</v>
      </c>
      <c r="F116" s="6" t="n">
        <v>8434</v>
      </c>
      <c r="G116" s="6" t="n">
        <v>0.151</v>
      </c>
      <c r="H116" s="6" t="n">
        <v>19</v>
      </c>
      <c r="I116" s="6" t="n">
        <v>84.09999999999999</v>
      </c>
      <c r="J116" s="6" t="n">
        <v>1.56</v>
      </c>
      <c r="K116" s="6" t="n">
        <v>0</v>
      </c>
      <c r="L116" s="6" t="n">
        <v>4.7</v>
      </c>
      <c r="M116" s="6" t="n">
        <v>820519.04</v>
      </c>
      <c r="N116" s="6" t="n">
        <v>99035.88</v>
      </c>
      <c r="O116" s="8">
        <f>IF(AND(ISNUMBER(L116),ISNUMBER(J116)),0,1)</f>
        <v/>
      </c>
    </row>
    <row r="117">
      <c r="A117" s="2" t="inlineStr">
        <is>
          <t>STR-1030</t>
        </is>
      </c>
      <c r="B117" s="3" t="n">
        <v>45717</v>
      </c>
      <c r="C117" s="2" t="inlineStr">
        <is>
          <t>West</t>
        </is>
      </c>
      <c r="D117" s="2" t="inlineStr">
        <is>
          <t>Residential</t>
        </is>
      </c>
      <c r="E117" s="2" t="n">
        <v>42415.47</v>
      </c>
      <c r="F117" s="2" t="n">
        <v>8512</v>
      </c>
      <c r="G117" s="2" t="n">
        <v>0.133</v>
      </c>
      <c r="H117" s="2" t="n">
        <v>18</v>
      </c>
      <c r="I117" s="2" t="n">
        <v>96.8</v>
      </c>
      <c r="J117" s="2" t="n">
        <v>14.95</v>
      </c>
      <c r="K117" s="2" t="n">
        <v>0</v>
      </c>
      <c r="L117" s="2" t="n">
        <v>4.6</v>
      </c>
      <c r="M117" s="2" t="n">
        <v>684217.3199999999</v>
      </c>
      <c r="N117" s="2" t="n">
        <v>136217.19</v>
      </c>
      <c r="O117" s="5">
        <f>IF(AND(ISNUMBER(L117),ISNUMBER(J117)),0,1)</f>
        <v/>
      </c>
    </row>
    <row r="118">
      <c r="A118" s="6" t="inlineStr">
        <is>
          <t>STR-1030</t>
        </is>
      </c>
      <c r="B118" s="7" t="n">
        <v>45748</v>
      </c>
      <c r="C118" s="6" t="inlineStr">
        <is>
          <t>West</t>
        </is>
      </c>
      <c r="D118" s="6" t="inlineStr">
        <is>
          <t>Residential</t>
        </is>
      </c>
      <c r="E118" s="6" t="n">
        <v>54968.98</v>
      </c>
      <c r="F118" s="6" t="n">
        <v>7816</v>
      </c>
      <c r="G118" s="6" t="n">
        <v>0.232</v>
      </c>
      <c r="H118" s="6" t="n">
        <v>19</v>
      </c>
      <c r="I118" s="6" t="n">
        <v>95.7</v>
      </c>
      <c r="J118" s="6" t="n">
        <v>7.85</v>
      </c>
      <c r="K118" s="6" t="n">
        <v>0</v>
      </c>
      <c r="L118" s="6" t="n">
        <v>4.7</v>
      </c>
      <c r="M118" s="6" t="n">
        <v>735480.1899999999</v>
      </c>
      <c r="N118" s="6" t="n">
        <v>88342.11</v>
      </c>
      <c r="O118" s="8">
        <f>IF(AND(ISNUMBER(L118),ISNUMBER(J118)),0,1)</f>
        <v/>
      </c>
    </row>
    <row r="119">
      <c r="A119" s="2" t="inlineStr">
        <is>
          <t>STR-1031</t>
        </is>
      </c>
      <c r="B119" s="3" t="n">
        <v>45658</v>
      </c>
      <c r="C119" s="2" t="inlineStr">
        <is>
          <t>North</t>
        </is>
      </c>
      <c r="D119" s="2" t="inlineStr">
        <is>
          <t>High Street</t>
        </is>
      </c>
      <c r="E119" s="2" t="n">
        <v>43896.13</v>
      </c>
      <c r="F119" s="2" t="n">
        <v>3853</v>
      </c>
      <c r="G119" s="2" t="n">
        <v>0.08799999999999999</v>
      </c>
      <c r="H119" s="2" t="n">
        <v>13</v>
      </c>
      <c r="I119" s="2" t="n">
        <v>83</v>
      </c>
      <c r="J119" s="2" t="n">
        <v>6.8</v>
      </c>
      <c r="K119" s="2" t="n">
        <v>0</v>
      </c>
      <c r="L119" s="2" t="n">
        <v>4.4</v>
      </c>
      <c r="M119" s="2" t="n">
        <v>509484.81</v>
      </c>
      <c r="N119" s="2" t="n">
        <v>85742.36</v>
      </c>
      <c r="O119" s="5">
        <f>IF(AND(ISNUMBER(L119),ISNUMBER(J119)),0,1)</f>
        <v/>
      </c>
    </row>
    <row r="120">
      <c r="A120" s="6" t="inlineStr">
        <is>
          <t>STR-1031</t>
        </is>
      </c>
      <c r="B120" s="7" t="n">
        <v>45689</v>
      </c>
      <c r="C120" s="6" t="inlineStr">
        <is>
          <t>North</t>
        </is>
      </c>
      <c r="D120" s="6" t="inlineStr">
        <is>
          <t>High Street</t>
        </is>
      </c>
      <c r="E120" s="6" t="n">
        <v>83044.17</v>
      </c>
      <c r="F120" s="6" t="n">
        <v>3694</v>
      </c>
      <c r="G120" s="6" t="n">
        <v>0</v>
      </c>
      <c r="H120" s="6" t="n">
        <v>14</v>
      </c>
      <c r="I120" s="6" t="n">
        <v>89.40000000000001</v>
      </c>
      <c r="J120" s="6" t="n">
        <v>2.2</v>
      </c>
      <c r="K120" s="6" t="n">
        <v>0</v>
      </c>
      <c r="L120" s="6" t="n">
        <v>3.7</v>
      </c>
      <c r="M120" s="6" t="n">
        <v>654317.09</v>
      </c>
      <c r="N120" s="6" t="n">
        <v>121446.89</v>
      </c>
      <c r="O120" s="8">
        <f>IF(AND(ISNUMBER(L120),ISNUMBER(J120)),0,1)</f>
        <v/>
      </c>
    </row>
    <row r="121">
      <c r="A121" s="2" t="inlineStr">
        <is>
          <t>STR-1031</t>
        </is>
      </c>
      <c r="B121" s="3" t="n">
        <v>45717</v>
      </c>
      <c r="C121" s="2" t="inlineStr">
        <is>
          <t>North</t>
        </is>
      </c>
      <c r="D121" s="2" t="inlineStr">
        <is>
          <t>High Street</t>
        </is>
      </c>
      <c r="E121" s="2" t="n">
        <v>48396.13</v>
      </c>
      <c r="F121" s="2" t="n">
        <v>4423</v>
      </c>
      <c r="G121" s="2" t="n">
        <v>0.06900000000000001</v>
      </c>
      <c r="H121" s="2" t="n">
        <v>15</v>
      </c>
      <c r="I121" s="2" t="n">
        <v>85.7</v>
      </c>
      <c r="J121" s="2" t="n">
        <v>1.88</v>
      </c>
      <c r="K121" s="2" t="n">
        <v>0</v>
      </c>
      <c r="L121" s="2" t="n">
        <v>3.9</v>
      </c>
      <c r="M121" s="2" t="n">
        <v>557487.26</v>
      </c>
      <c r="N121" s="2" t="n">
        <v>76432.19</v>
      </c>
      <c r="O121" s="5">
        <f>IF(AND(ISNUMBER(L121),ISNUMBER(J121)),0,1)</f>
        <v/>
      </c>
    </row>
    <row r="122">
      <c r="A122" s="6" t="inlineStr">
        <is>
          <t>STR-1031</t>
        </is>
      </c>
      <c r="B122" s="7" t="n">
        <v>45748</v>
      </c>
      <c r="C122" s="6" t="inlineStr">
        <is>
          <t>North</t>
        </is>
      </c>
      <c r="D122" s="6" t="inlineStr">
        <is>
          <t>High Street</t>
        </is>
      </c>
      <c r="E122" s="6" t="n">
        <v>19063.48</v>
      </c>
      <c r="F122" s="6" t="n">
        <v>1906</v>
      </c>
      <c r="G122" s="6" t="n">
        <v>0.216</v>
      </c>
      <c r="H122" s="6" t="n">
        <v>10</v>
      </c>
      <c r="I122" s="6" t="n">
        <v>97.8</v>
      </c>
      <c r="J122" s="6" t="n">
        <v>15.79</v>
      </c>
      <c r="K122" s="6" t="n">
        <v>0</v>
      </c>
      <c r="L122" s="6" t="n">
        <v>4.4</v>
      </c>
      <c r="M122" s="6" t="n">
        <v>441275.42</v>
      </c>
      <c r="N122" s="6" t="n">
        <v>58234.87</v>
      </c>
      <c r="O122" s="8">
        <f>IF(AND(ISNUMBER(L122),ISNUMBER(J122)),0,1)</f>
        <v/>
      </c>
    </row>
    <row r="123">
      <c r="A123" s="2" t="inlineStr">
        <is>
          <t>STR-1032</t>
        </is>
      </c>
      <c r="B123" s="3" t="n">
        <v>45658</v>
      </c>
      <c r="C123" s="2" t="inlineStr">
        <is>
          <t>South</t>
        </is>
      </c>
      <c r="D123" s="2" t="inlineStr">
        <is>
          <t>High Street</t>
        </is>
      </c>
      <c r="E123" s="2" t="n">
        <v>61541.21</v>
      </c>
      <c r="F123" s="2" t="n">
        <v>10396</v>
      </c>
      <c r="G123" s="2" t="n">
        <v>0.123</v>
      </c>
      <c r="H123" s="2" t="n">
        <v>25</v>
      </c>
      <c r="I123" s="2" t="n">
        <v>88.09999999999999</v>
      </c>
      <c r="J123" s="2" t="n">
        <v>2.34</v>
      </c>
      <c r="K123" s="2" t="n">
        <v>1</v>
      </c>
      <c r="L123" s="2" t="n">
        <v>4.8</v>
      </c>
      <c r="M123" s="2" t="n">
        <v>914544.17</v>
      </c>
      <c r="N123" s="2" t="n">
        <v>79831.73</v>
      </c>
      <c r="O123" s="5">
        <f>IF(AND(ISNUMBER(L123),ISNUMBER(J123)),0,1)</f>
        <v/>
      </c>
    </row>
    <row r="124">
      <c r="A124" s="6" t="inlineStr">
        <is>
          <t>STR-1032</t>
        </is>
      </c>
      <c r="B124" s="7" t="n">
        <v>45689</v>
      </c>
      <c r="C124" s="6" t="inlineStr">
        <is>
          <t>South</t>
        </is>
      </c>
      <c r="D124" s="6" t="inlineStr">
        <is>
          <t>High Street</t>
        </is>
      </c>
      <c r="E124" s="6" t="n">
        <v>44747</v>
      </c>
      <c r="F124" s="6" t="n">
        <v>11076</v>
      </c>
      <c r="G124" s="6" t="n">
        <v>0.176</v>
      </c>
      <c r="H124" s="6" t="n">
        <v>27</v>
      </c>
      <c r="I124" s="6" t="n">
        <v>98.3</v>
      </c>
      <c r="J124" s="6" t="n">
        <v>0.54</v>
      </c>
      <c r="K124" s="6" t="n">
        <v>0</v>
      </c>
      <c r="L124" s="6" t="n">
        <v>4.4</v>
      </c>
      <c r="M124" s="6" t="n">
        <v>842439.67</v>
      </c>
      <c r="N124" s="6" t="n">
        <v>169983.63</v>
      </c>
      <c r="O124" s="8">
        <f>IF(AND(ISNUMBER(L124),ISNUMBER(J124)),0,1)</f>
        <v/>
      </c>
    </row>
    <row r="125">
      <c r="A125" s="2" t="inlineStr">
        <is>
          <t>STR-1032</t>
        </is>
      </c>
      <c r="B125" s="3" t="n">
        <v>45717</v>
      </c>
      <c r="C125" s="2" t="inlineStr">
        <is>
          <t>South</t>
        </is>
      </c>
      <c r="D125" s="2" t="inlineStr">
        <is>
          <t>High Street</t>
        </is>
      </c>
      <c r="E125" s="2" t="n">
        <v>56517.9</v>
      </c>
      <c r="F125" s="2" t="n">
        <v>9574</v>
      </c>
      <c r="G125" s="2" t="n">
        <v>0.204</v>
      </c>
      <c r="H125" s="2" t="n">
        <v>20</v>
      </c>
      <c r="I125" s="2" t="n">
        <v>88.2</v>
      </c>
      <c r="J125" s="2" t="n">
        <v>5.37</v>
      </c>
      <c r="K125" s="2" t="n">
        <v>1</v>
      </c>
      <c r="L125" s="2" t="n">
        <v>4.9</v>
      </c>
      <c r="M125" s="2" t="n">
        <v>842157.92</v>
      </c>
      <c r="N125" s="2" t="n">
        <v>107348.22</v>
      </c>
      <c r="O125" s="5">
        <f>IF(AND(ISNUMBER(L125),ISNUMBER(J125)),0,1)</f>
        <v/>
      </c>
    </row>
    <row r="126">
      <c r="A126" s="6" t="inlineStr">
        <is>
          <t>STR-1032</t>
        </is>
      </c>
      <c r="B126" s="7" t="n">
        <v>45748</v>
      </c>
      <c r="C126" s="6" t="inlineStr">
        <is>
          <t>South</t>
        </is>
      </c>
      <c r="D126" s="6" t="inlineStr">
        <is>
          <t>High Street</t>
        </is>
      </c>
      <c r="E126" s="6" t="n">
        <v>37828.5</v>
      </c>
      <c r="F126" s="6" t="n">
        <v>8221</v>
      </c>
      <c r="G126" s="6" t="n">
        <v>0.096</v>
      </c>
      <c r="H126" s="6" t="n">
        <v>19</v>
      </c>
      <c r="I126" s="6" t="n">
        <v>81.5</v>
      </c>
      <c r="J126" s="6" t="n">
        <v>3.19</v>
      </c>
      <c r="K126" s="6" t="n">
        <v>0</v>
      </c>
      <c r="L126" s="6" t="n">
        <v>4.8</v>
      </c>
      <c r="M126" s="6" t="n">
        <v>697155.3</v>
      </c>
      <c r="N126" s="6" t="n">
        <v>136408.54</v>
      </c>
      <c r="O126" s="8">
        <f>IF(AND(ISNUMBER(L126),ISNUMBER(J126)),0,1)</f>
        <v/>
      </c>
    </row>
    <row r="127">
      <c r="A127" s="2" t="inlineStr">
        <is>
          <t>STR-1033</t>
        </is>
      </c>
      <c r="B127" s="3" t="n">
        <v>45658</v>
      </c>
      <c r="C127" s="2" t="inlineStr">
        <is>
          <t>East</t>
        </is>
      </c>
      <c r="D127" s="2" t="inlineStr">
        <is>
          <t>High Street</t>
        </is>
      </c>
      <c r="E127" s="2" t="n">
        <v>66250.53</v>
      </c>
      <c r="F127" s="2" t="n">
        <v>10618</v>
      </c>
      <c r="G127" s="2" t="n">
        <v>0.142</v>
      </c>
      <c r="H127" s="2" t="n">
        <v>27</v>
      </c>
      <c r="I127" s="2" t="n">
        <v>88.3</v>
      </c>
      <c r="J127" s="2" t="n">
        <v>1.1</v>
      </c>
      <c r="K127" s="2" t="n">
        <v>1</v>
      </c>
      <c r="L127" s="2" t="n">
        <v>4.4</v>
      </c>
      <c r="M127" s="2" t="n">
        <v>849018.3</v>
      </c>
      <c r="N127" s="2" t="n">
        <v>149035.13</v>
      </c>
      <c r="O127" s="5">
        <f>IF(AND(ISNUMBER(L127),ISNUMBER(J127)),0,1)</f>
        <v/>
      </c>
    </row>
    <row r="128">
      <c r="A128" s="6" t="inlineStr">
        <is>
          <t>STR-1033</t>
        </is>
      </c>
      <c r="B128" s="7" t="n">
        <v>45689</v>
      </c>
      <c r="C128" s="6" t="inlineStr">
        <is>
          <t>East</t>
        </is>
      </c>
      <c r="D128" s="6" t="inlineStr">
        <is>
          <t>High Street</t>
        </is>
      </c>
      <c r="E128" s="6" t="n">
        <v>68410.92999999999</v>
      </c>
      <c r="F128" s="6" t="n">
        <v>10596</v>
      </c>
      <c r="G128" s="6" t="n">
        <v>0.207</v>
      </c>
      <c r="H128" s="6" t="n">
        <v>25</v>
      </c>
      <c r="I128" s="6" t="n">
        <v>81.2</v>
      </c>
      <c r="J128" s="6" t="n">
        <v>0.21</v>
      </c>
      <c r="K128" s="6" t="n">
        <v>0</v>
      </c>
      <c r="L128" s="6" t="n">
        <v>4</v>
      </c>
      <c r="M128" s="6" t="n">
        <v>801830.35</v>
      </c>
      <c r="N128" s="6" t="n">
        <v>114875.32</v>
      </c>
      <c r="O128" s="8">
        <f>IF(AND(ISNUMBER(L128),ISNUMBER(J128)),0,1)</f>
        <v/>
      </c>
    </row>
    <row r="129">
      <c r="A129" s="2" t="inlineStr">
        <is>
          <t>STR-1033</t>
        </is>
      </c>
      <c r="B129" s="3" t="n">
        <v>45717</v>
      </c>
      <c r="C129" s="2" t="inlineStr">
        <is>
          <t>East</t>
        </is>
      </c>
      <c r="D129" s="2" t="inlineStr">
        <is>
          <t>High Street</t>
        </is>
      </c>
      <c r="E129" s="2" t="n">
        <v>50735.63</v>
      </c>
      <c r="F129" s="2" t="n">
        <v>9619</v>
      </c>
      <c r="G129" s="2" t="n">
        <v>0.144</v>
      </c>
      <c r="H129" s="2" t="n">
        <v>19</v>
      </c>
      <c r="I129" s="2" t="n">
        <v>93.8</v>
      </c>
      <c r="J129" s="2" t="n">
        <v>5.12</v>
      </c>
      <c r="K129" s="2" t="n">
        <v>1</v>
      </c>
      <c r="L129" s="2" t="n">
        <v>4.5</v>
      </c>
      <c r="M129" s="2" t="n">
        <v>725235.28</v>
      </c>
      <c r="N129" s="2" t="n">
        <v>121632.24</v>
      </c>
      <c r="O129" s="5">
        <f>IF(AND(ISNUMBER(L129),ISNUMBER(J129)),0,1)</f>
        <v/>
      </c>
    </row>
    <row r="130">
      <c r="A130" s="6" t="inlineStr">
        <is>
          <t>STR-1033</t>
        </is>
      </c>
      <c r="B130" s="7" t="n">
        <v>45748</v>
      </c>
      <c r="C130" s="6" t="inlineStr">
        <is>
          <t>East</t>
        </is>
      </c>
      <c r="D130" s="6" t="inlineStr">
        <is>
          <t>High Street</t>
        </is>
      </c>
      <c r="E130" s="6" t="n">
        <v>66455.8</v>
      </c>
      <c r="F130" s="6" t="n">
        <v>10836</v>
      </c>
      <c r="G130" s="6" t="n">
        <v>0.089</v>
      </c>
      <c r="H130" s="6" t="n">
        <v>25</v>
      </c>
      <c r="I130" s="6" t="n">
        <v>85</v>
      </c>
      <c r="J130" s="6" t="n">
        <v>9.77</v>
      </c>
      <c r="K130" s="6" t="n">
        <v>0</v>
      </c>
      <c r="L130" s="6" t="n">
        <v>4.5</v>
      </c>
      <c r="M130" s="6" t="n">
        <v>811452.72</v>
      </c>
      <c r="N130" s="6" t="n">
        <v>131325.67</v>
      </c>
      <c r="O130" s="8">
        <f>IF(AND(ISNUMBER(L130),ISNUMBER(J130)),0,1)</f>
        <v/>
      </c>
    </row>
    <row r="131">
      <c r="A131" s="2" t="inlineStr">
        <is>
          <t>STR-1034</t>
        </is>
      </c>
      <c r="B131" s="3" t="n">
        <v>45658</v>
      </c>
      <c r="C131" s="2" t="inlineStr">
        <is>
          <t>North</t>
        </is>
      </c>
      <c r="D131" s="2" t="inlineStr">
        <is>
          <t>High Street</t>
        </is>
      </c>
      <c r="E131" s="2" t="n">
        <v>70276.28</v>
      </c>
      <c r="F131" s="2" t="n">
        <v>3043</v>
      </c>
      <c r="G131" s="2" t="n">
        <v>0.079</v>
      </c>
      <c r="H131" s="2" t="n">
        <v>9</v>
      </c>
      <c r="I131" s="2" t="n">
        <v>87.90000000000001</v>
      </c>
      <c r="J131" s="2" t="n">
        <v>3.77</v>
      </c>
      <c r="K131" s="2" t="n">
        <v>0</v>
      </c>
      <c r="L131" s="2" t="n">
        <v>4.4</v>
      </c>
      <c r="M131" s="2" t="n">
        <v>527300.13</v>
      </c>
      <c r="N131" s="2" t="n">
        <v>84197.87</v>
      </c>
      <c r="O131" s="5">
        <f>IF(AND(ISNUMBER(L131),ISNUMBER(J131)),0,1)</f>
        <v/>
      </c>
    </row>
    <row r="132">
      <c r="A132" s="6" t="inlineStr">
        <is>
          <t>STR-1034</t>
        </is>
      </c>
      <c r="B132" s="7" t="n">
        <v>45717</v>
      </c>
      <c r="C132" s="6" t="inlineStr">
        <is>
          <t>North</t>
        </is>
      </c>
      <c r="D132" s="6" t="inlineStr">
        <is>
          <t>High Street</t>
        </is>
      </c>
      <c r="E132" s="6" t="n">
        <v>52285.45</v>
      </c>
      <c r="F132" s="6" t="n">
        <v>3618</v>
      </c>
      <c r="G132" s="6" t="n">
        <v>0.08599999999999999</v>
      </c>
      <c r="H132" s="6" t="n">
        <v>11</v>
      </c>
      <c r="I132" s="6" t="n">
        <v>95.59999999999999</v>
      </c>
      <c r="J132" s="6" t="n">
        <v>5.17</v>
      </c>
      <c r="K132" s="6" t="n">
        <v>1</v>
      </c>
      <c r="L132" s="6" t="n">
        <v>4.4</v>
      </c>
      <c r="M132" s="6" t="n">
        <v>593247.25</v>
      </c>
      <c r="N132" s="6" t="n">
        <v>81240.28999999999</v>
      </c>
      <c r="O132" s="8">
        <f>IF(AND(ISNUMBER(L132),ISNUMBER(J132)),0,1)</f>
        <v/>
      </c>
    </row>
    <row r="133">
      <c r="A133" s="2" t="inlineStr">
        <is>
          <t>STR-1034</t>
        </is>
      </c>
      <c r="B133" s="3" t="n">
        <v>45748</v>
      </c>
      <c r="C133" s="2" t="inlineStr">
        <is>
          <t>North</t>
        </is>
      </c>
      <c r="D133" s="2" t="inlineStr">
        <is>
          <t>High Street</t>
        </is>
      </c>
      <c r="E133" s="2" t="n">
        <v>70366.75999999999</v>
      </c>
      <c r="F133" s="2" t="n">
        <v>1963</v>
      </c>
      <c r="G133" s="2" t="n">
        <v>0.182</v>
      </c>
      <c r="H133" s="2" t="n">
        <v>8</v>
      </c>
      <c r="I133" s="2" t="n">
        <v>89.8</v>
      </c>
      <c r="J133" s="2" t="n">
        <v>3.2</v>
      </c>
      <c r="K133" s="2" t="n">
        <v>0</v>
      </c>
      <c r="L133" s="2" t="n">
        <v>4.6</v>
      </c>
      <c r="M133" s="2" t="n">
        <v>529075.95</v>
      </c>
      <c r="N133" s="2" t="n">
        <v>95978.83</v>
      </c>
      <c r="O133" s="5">
        <f>IF(AND(ISNUMBER(L133),ISNUMBER(J133)),0,1)</f>
        <v/>
      </c>
    </row>
    <row r="134">
      <c r="A134" s="6" t="inlineStr">
        <is>
          <t>STR-1035</t>
        </is>
      </c>
      <c r="B134" s="7" t="n">
        <v>45689</v>
      </c>
      <c r="C134" s="6" t="inlineStr">
        <is>
          <t>South</t>
        </is>
      </c>
      <c r="D134" s="6" t="inlineStr">
        <is>
          <t>Residential</t>
        </is>
      </c>
      <c r="E134" s="6" t="n">
        <v>75109.67</v>
      </c>
      <c r="F134" s="6" t="n">
        <v>6244</v>
      </c>
      <c r="G134" s="6" t="n">
        <v>0.079</v>
      </c>
      <c r="H134" s="6" t="n">
        <v>15</v>
      </c>
      <c r="I134" s="6" t="n">
        <v>96.3</v>
      </c>
      <c r="J134" s="6" t="n">
        <v>7.38</v>
      </c>
      <c r="K134" s="6" t="n">
        <v>0</v>
      </c>
      <c r="L134" s="6" t="n">
        <v>3.7</v>
      </c>
      <c r="M134" s="6" t="n">
        <v>743348.84</v>
      </c>
      <c r="N134" s="6" t="n">
        <v>104186.09</v>
      </c>
      <c r="O134" s="8">
        <f>IF(AND(ISNUMBER(L134),ISNUMBER(J134)),0,1)</f>
        <v/>
      </c>
    </row>
    <row r="135">
      <c r="A135" s="2" t="inlineStr">
        <is>
          <t>STR-1035</t>
        </is>
      </c>
      <c r="B135" s="3" t="n">
        <v>45717</v>
      </c>
      <c r="C135" s="2" t="inlineStr">
        <is>
          <t>South</t>
        </is>
      </c>
      <c r="D135" s="2" t="inlineStr">
        <is>
          <t>Residential</t>
        </is>
      </c>
      <c r="E135" s="2" t="n">
        <v>69779</v>
      </c>
      <c r="F135" s="2" t="n">
        <v>6544</v>
      </c>
      <c r="G135" s="2" t="n">
        <v>0.152</v>
      </c>
      <c r="H135" s="2" t="n">
        <v>18</v>
      </c>
      <c r="I135" s="2" t="n">
        <v>90.2</v>
      </c>
      <c r="J135" s="2" t="n">
        <v>0.85</v>
      </c>
      <c r="K135" s="2" t="n">
        <v>1</v>
      </c>
      <c r="L135" s="2" t="n">
        <v>3.3</v>
      </c>
      <c r="M135" s="2" t="n">
        <v>758827.64</v>
      </c>
      <c r="N135" s="2" t="n">
        <v>161439.48</v>
      </c>
      <c r="O135" s="5">
        <f>IF(AND(ISNUMBER(L135),ISNUMBER(J135)),0,1)</f>
        <v/>
      </c>
    </row>
    <row r="136">
      <c r="A136" s="6" t="inlineStr">
        <is>
          <t>STR-1035</t>
        </is>
      </c>
      <c r="B136" s="7" t="n">
        <v>45748</v>
      </c>
      <c r="C136" s="6" t="inlineStr">
        <is>
          <t>South</t>
        </is>
      </c>
      <c r="D136" s="6" t="inlineStr">
        <is>
          <t>Residential</t>
        </is>
      </c>
      <c r="E136" s="6" t="n">
        <v>44211.95</v>
      </c>
      <c r="F136" s="6" t="n">
        <v>5465</v>
      </c>
      <c r="G136" s="6" t="n">
        <v>0.187</v>
      </c>
      <c r="H136" s="6" t="n">
        <v>12</v>
      </c>
      <c r="I136" s="6" t="n">
        <v>90</v>
      </c>
      <c r="J136" s="6" t="n">
        <v>2.89</v>
      </c>
      <c r="K136" s="6" t="n">
        <v>0</v>
      </c>
      <c r="L136" s="6" t="n">
        <v>3.6</v>
      </c>
      <c r="M136" s="6" t="n">
        <v>646559.71</v>
      </c>
      <c r="N136" s="6" t="n">
        <v>97981.75</v>
      </c>
      <c r="O136" s="8">
        <f>IF(AND(ISNUMBER(L136),ISNUMBER(J136)),0,1)</f>
        <v/>
      </c>
    </row>
    <row r="137">
      <c r="A137" s="2" t="inlineStr">
        <is>
          <t>STR-1036</t>
        </is>
      </c>
      <c r="B137" s="3" t="n">
        <v>45658</v>
      </c>
      <c r="C137" s="2" t="inlineStr">
        <is>
          <t>West</t>
        </is>
      </c>
      <c r="D137" s="2" t="inlineStr">
        <is>
          <t>High Street</t>
        </is>
      </c>
      <c r="E137" s="2" t="n">
        <v>51430.31</v>
      </c>
      <c r="F137" s="2" t="n">
        <v>6427</v>
      </c>
      <c r="G137" s="2" t="n">
        <v>0.234</v>
      </c>
      <c r="H137" s="2" t="n">
        <v>14</v>
      </c>
      <c r="I137" s="2" t="n">
        <v>88.8</v>
      </c>
      <c r="J137" s="2" t="n">
        <v>0.77</v>
      </c>
      <c r="K137" s="2" t="n">
        <v>0</v>
      </c>
      <c r="L137" s="2" t="n">
        <v>4.1</v>
      </c>
      <c r="M137" s="2" t="n">
        <v>715890.53</v>
      </c>
      <c r="N137" s="2" t="n">
        <v>109032.15</v>
      </c>
      <c r="O137" s="5">
        <f>IF(AND(ISNUMBER(L137),ISNUMBER(J137)),0,1)</f>
        <v/>
      </c>
    </row>
    <row r="138">
      <c r="A138" s="6" t="inlineStr">
        <is>
          <t>STR-1036</t>
        </is>
      </c>
      <c r="B138" s="7" t="n">
        <v>45689</v>
      </c>
      <c r="C138" s="6" t="inlineStr">
        <is>
          <t>West</t>
        </is>
      </c>
      <c r="D138" s="6" t="inlineStr">
        <is>
          <t>High Street</t>
        </is>
      </c>
      <c r="E138" s="6" t="n">
        <v>45706.49</v>
      </c>
      <c r="F138" s="6" t="n">
        <v>6704</v>
      </c>
      <c r="G138" s="6" t="n">
        <v>0.038</v>
      </c>
      <c r="H138" s="6" t="n">
        <v>15</v>
      </c>
      <c r="I138" s="6" t="n">
        <v>94.2</v>
      </c>
      <c r="J138" s="6" t="n">
        <v>2.92</v>
      </c>
      <c r="K138" s="6" t="n">
        <v>0</v>
      </c>
      <c r="L138" s="6" t="n">
        <v>4.2</v>
      </c>
      <c r="M138" s="6" t="n">
        <v>715097.5699999999</v>
      </c>
      <c r="N138" s="6" t="n">
        <v>151875.86</v>
      </c>
      <c r="O138" s="8">
        <f>IF(AND(ISNUMBER(L138),ISNUMBER(J138)),0,1)</f>
        <v/>
      </c>
    </row>
    <row r="139">
      <c r="A139" s="2" t="inlineStr">
        <is>
          <t>STR-1036</t>
        </is>
      </c>
      <c r="B139" s="3" t="n">
        <v>45717</v>
      </c>
      <c r="C139" s="2" t="inlineStr">
        <is>
          <t>West</t>
        </is>
      </c>
      <c r="D139" s="2" t="inlineStr">
        <is>
          <t>High Street</t>
        </is>
      </c>
      <c r="E139" s="2" t="n">
        <v>44034.6</v>
      </c>
      <c r="F139" s="2" t="n">
        <v>5645</v>
      </c>
      <c r="G139" s="2" t="n">
        <v>0.06900000000000001</v>
      </c>
      <c r="H139" s="2" t="n">
        <v>18</v>
      </c>
      <c r="I139" s="2" t="n">
        <v>88.5</v>
      </c>
      <c r="J139" s="2" t="n">
        <v>3.07</v>
      </c>
      <c r="K139" s="2" t="n">
        <v>0</v>
      </c>
      <c r="L139" s="2" t="n">
        <v>3.8</v>
      </c>
      <c r="M139" s="2" t="n">
        <v>682639.28</v>
      </c>
      <c r="N139" s="2" t="n">
        <v>77557.53</v>
      </c>
      <c r="O139" s="5">
        <f>IF(AND(ISNUMBER(L139),ISNUMBER(J139)),0,1)</f>
        <v/>
      </c>
    </row>
    <row r="140">
      <c r="A140" s="6" t="inlineStr">
        <is>
          <t>STR-1036</t>
        </is>
      </c>
      <c r="B140" s="7" t="n">
        <v>45748</v>
      </c>
      <c r="C140" s="6" t="inlineStr">
        <is>
          <t>West</t>
        </is>
      </c>
      <c r="D140" s="6" t="inlineStr">
        <is>
          <t>High Street</t>
        </is>
      </c>
      <c r="E140" s="6" t="n">
        <v>50198.12</v>
      </c>
      <c r="F140" s="6" t="n">
        <v>6089</v>
      </c>
      <c r="G140" s="6" t="n">
        <v>0.182</v>
      </c>
      <c r="H140" s="6" t="n">
        <v>19</v>
      </c>
      <c r="I140" s="6" t="n">
        <v>94</v>
      </c>
      <c r="J140" s="6" t="n">
        <v>9.699999999999999</v>
      </c>
      <c r="K140" s="6" t="n">
        <v>0</v>
      </c>
      <c r="L140" s="6" t="n">
        <v>3.9</v>
      </c>
      <c r="M140" s="6" t="n">
        <v>695098.51</v>
      </c>
      <c r="N140" s="6" t="n">
        <v>108192.75</v>
      </c>
      <c r="O140" s="8">
        <f>IF(AND(ISNUMBER(L140),ISNUMBER(J140)),0,1)</f>
        <v/>
      </c>
    </row>
    <row r="141">
      <c r="A141" s="2" t="inlineStr">
        <is>
          <t>STR-1037</t>
        </is>
      </c>
      <c r="B141" s="3" t="n">
        <v>45658</v>
      </c>
      <c r="C141" s="2" t="inlineStr">
        <is>
          <t>North</t>
        </is>
      </c>
      <c r="D141" s="2" t="inlineStr">
        <is>
          <t>Residential</t>
        </is>
      </c>
      <c r="E141" s="2" t="n">
        <v>70488.2</v>
      </c>
      <c r="F141" s="2" t="n">
        <v>4312</v>
      </c>
      <c r="G141" s="2" t="n">
        <v>0.169</v>
      </c>
      <c r="H141" s="2" t="n">
        <v>12</v>
      </c>
      <c r="I141" s="2" t="n">
        <v>90.2</v>
      </c>
      <c r="J141" s="2" t="n">
        <v>3.71</v>
      </c>
      <c r="K141" s="2" t="n">
        <v>0</v>
      </c>
      <c r="L141" s="2" t="n">
        <v>3.2</v>
      </c>
      <c r="M141" s="2" t="n">
        <v>577732.5699999999</v>
      </c>
      <c r="N141" s="2" t="n">
        <v>93804.27</v>
      </c>
      <c r="O141" s="5">
        <f>IF(AND(ISNUMBER(L141),ISNUMBER(J141)),0,1)</f>
        <v/>
      </c>
    </row>
    <row r="142">
      <c r="A142" s="6" t="inlineStr">
        <is>
          <t>STR-1037</t>
        </is>
      </c>
      <c r="B142" s="7" t="n">
        <v>45689</v>
      </c>
      <c r="C142" s="6" t="inlineStr">
        <is>
          <t>North</t>
        </is>
      </c>
      <c r="D142" s="6" t="inlineStr">
        <is>
          <t>Residential</t>
        </is>
      </c>
      <c r="E142" s="6" t="n">
        <v>50909.27</v>
      </c>
      <c r="F142" s="6" t="n">
        <v>3152</v>
      </c>
      <c r="G142" s="6" t="n">
        <v>0.06</v>
      </c>
      <c r="H142" s="6" t="n">
        <v>13</v>
      </c>
      <c r="I142" s="6" t="n">
        <v>93.7</v>
      </c>
      <c r="J142" s="6" t="n">
        <v>10.79</v>
      </c>
      <c r="K142" s="6" t="n">
        <v>0</v>
      </c>
      <c r="L142" s="6" t="n">
        <v>3.5</v>
      </c>
      <c r="M142" s="6" t="n">
        <v>537058.33</v>
      </c>
      <c r="N142" s="6" t="n">
        <v>93555.71000000001</v>
      </c>
      <c r="O142" s="8">
        <f>IF(AND(ISNUMBER(L142),ISNUMBER(J142)),0,1)</f>
        <v/>
      </c>
    </row>
    <row r="143">
      <c r="A143" s="2" t="inlineStr">
        <is>
          <t>STR-1037</t>
        </is>
      </c>
      <c r="B143" s="3" t="n">
        <v>45717</v>
      </c>
      <c r="C143" s="2" t="inlineStr">
        <is>
          <t>North</t>
        </is>
      </c>
      <c r="D143" s="2" t="inlineStr">
        <is>
          <t>Residential</t>
        </is>
      </c>
      <c r="E143" s="2" t="n">
        <v>53351.7</v>
      </c>
      <c r="F143" s="2" t="n">
        <v>4259</v>
      </c>
      <c r="G143" s="2" t="n">
        <v>0.156</v>
      </c>
      <c r="H143" s="2" t="n">
        <v>15</v>
      </c>
      <c r="I143" s="2" t="n">
        <v>93.7</v>
      </c>
      <c r="J143" s="2" t="n">
        <v>6.03</v>
      </c>
      <c r="K143" s="2" t="n">
        <v>0</v>
      </c>
      <c r="L143" s="2" t="n">
        <v>3.4</v>
      </c>
      <c r="M143" s="2" t="n">
        <v>601568.87</v>
      </c>
      <c r="N143" s="2" t="n">
        <v>91634.82000000001</v>
      </c>
      <c r="O143" s="5">
        <f>IF(AND(ISNUMBER(L143),ISNUMBER(J143)),0,1)</f>
        <v/>
      </c>
    </row>
    <row r="144">
      <c r="A144" s="6" t="inlineStr">
        <is>
          <t>STR-1037</t>
        </is>
      </c>
      <c r="B144" s="7" t="n">
        <v>45748</v>
      </c>
      <c r="C144" s="6" t="inlineStr">
        <is>
          <t>North</t>
        </is>
      </c>
      <c r="D144" s="6" t="inlineStr">
        <is>
          <t>Residential</t>
        </is>
      </c>
      <c r="E144" s="6" t="n">
        <v>60322.4</v>
      </c>
      <c r="F144" s="6" t="n">
        <v>3350</v>
      </c>
      <c r="G144" s="6" t="n">
        <v>0.108</v>
      </c>
      <c r="H144" s="6" t="n">
        <v>12</v>
      </c>
      <c r="I144" s="6" t="n">
        <v>89.40000000000001</v>
      </c>
      <c r="J144" s="6" t="n">
        <v>4.92</v>
      </c>
      <c r="K144" s="6" t="n">
        <v>0</v>
      </c>
      <c r="L144" s="6" t="n">
        <v>3.4</v>
      </c>
      <c r="M144" s="6" t="n">
        <v>570964.84</v>
      </c>
      <c r="N144" s="6" t="n">
        <v>81331.07000000001</v>
      </c>
      <c r="O144" s="8">
        <f>IF(AND(ISNUMBER(L144),ISNUMBER(J144)),0,1)</f>
        <v/>
      </c>
    </row>
    <row r="145">
      <c r="A145" s="2" t="inlineStr">
        <is>
          <t>STR-1038</t>
        </is>
      </c>
      <c r="B145" s="3" t="n">
        <v>45658</v>
      </c>
      <c r="C145" s="2" t="inlineStr">
        <is>
          <t>South</t>
        </is>
      </c>
      <c r="D145" s="2" t="inlineStr">
        <is>
          <t>Mall</t>
        </is>
      </c>
      <c r="E145" s="2" t="n">
        <v>51575.68</v>
      </c>
      <c r="F145" s="2" t="n">
        <v>5329</v>
      </c>
      <c r="G145" s="2" t="n">
        <v>0.047</v>
      </c>
      <c r="H145" s="2" t="n">
        <v>17</v>
      </c>
      <c r="I145" s="2" t="n">
        <v>88.09999999999999</v>
      </c>
      <c r="J145" s="2" t="n">
        <v>19.78</v>
      </c>
      <c r="K145" s="2" t="n">
        <v>0</v>
      </c>
      <c r="L145" s="2" t="n">
        <v>3.8</v>
      </c>
      <c r="M145" s="2" t="n">
        <v>614024.91</v>
      </c>
      <c r="N145" s="2" t="n">
        <v>84828.92999999999</v>
      </c>
      <c r="O145" s="5">
        <f>IF(AND(ISNUMBER(L145),ISNUMBER(J145)),0,1)</f>
        <v/>
      </c>
    </row>
    <row r="146">
      <c r="A146" s="6" t="inlineStr">
        <is>
          <t>STR-1038</t>
        </is>
      </c>
      <c r="B146" s="7" t="n">
        <v>45689</v>
      </c>
      <c r="C146" s="6" t="inlineStr">
        <is>
          <t>South</t>
        </is>
      </c>
      <c r="D146" s="6" t="inlineStr">
        <is>
          <t>Mall</t>
        </is>
      </c>
      <c r="E146" s="6" t="n">
        <v>43319.94</v>
      </c>
      <c r="F146" s="6" t="n">
        <v>6551</v>
      </c>
      <c r="G146" s="6" t="n">
        <v>0.044</v>
      </c>
      <c r="H146" s="6" t="n">
        <v>13</v>
      </c>
      <c r="I146" s="6" t="n">
        <v>99</v>
      </c>
      <c r="J146" s="6" t="n">
        <v>5.45</v>
      </c>
      <c r="K146" s="6" t="n">
        <v>0</v>
      </c>
      <c r="L146" s="6" t="n">
        <v>4.1</v>
      </c>
      <c r="M146" s="6" t="n">
        <v>712868.35</v>
      </c>
      <c r="N146" s="6" t="n">
        <v>133650.51</v>
      </c>
      <c r="O146" s="8">
        <f>IF(AND(ISNUMBER(L146),ISNUMBER(J146)),0,1)</f>
        <v/>
      </c>
    </row>
    <row r="147">
      <c r="A147" s="2" t="inlineStr">
        <is>
          <t>STR-1038</t>
        </is>
      </c>
      <c r="B147" s="3" t="n">
        <v>45717</v>
      </c>
      <c r="C147" s="2" t="inlineStr">
        <is>
          <t>South</t>
        </is>
      </c>
      <c r="D147" s="2" t="inlineStr">
        <is>
          <t>Mall</t>
        </is>
      </c>
      <c r="E147" s="2" t="n">
        <v>47093.55</v>
      </c>
      <c r="F147" s="2" t="n">
        <v>5550</v>
      </c>
      <c r="G147" s="2" t="n">
        <v>0.1</v>
      </c>
      <c r="H147" s="2" t="n">
        <v>12</v>
      </c>
      <c r="I147" s="2" t="n">
        <v>95</v>
      </c>
      <c r="J147" s="2" t="n">
        <v>2.33</v>
      </c>
      <c r="K147" s="2" t="n">
        <v>1</v>
      </c>
      <c r="L147" s="2" t="n">
        <v>3.7</v>
      </c>
      <c r="M147" s="2" t="n">
        <v>696744.15</v>
      </c>
      <c r="N147" s="2" t="n">
        <v>152230.09</v>
      </c>
      <c r="O147" s="5">
        <f>IF(AND(ISNUMBER(L147),ISNUMBER(J147)),0,1)</f>
        <v/>
      </c>
    </row>
    <row r="148">
      <c r="A148" s="6" t="inlineStr">
        <is>
          <t>STR-1038</t>
        </is>
      </c>
      <c r="B148" s="7" t="n">
        <v>45748</v>
      </c>
      <c r="C148" s="6" t="inlineStr">
        <is>
          <t>South</t>
        </is>
      </c>
      <c r="D148" s="6" t="inlineStr">
        <is>
          <t>Mall</t>
        </is>
      </c>
      <c r="E148" s="6" t="n">
        <v>71855.09</v>
      </c>
      <c r="F148" s="6" t="n">
        <v>5911</v>
      </c>
      <c r="G148" s="6" t="n">
        <v>0.197</v>
      </c>
      <c r="H148" s="6" t="n">
        <v>15</v>
      </c>
      <c r="I148" s="6" t="n">
        <v>94.3</v>
      </c>
      <c r="J148" s="6" t="n">
        <v>3.55</v>
      </c>
      <c r="K148" s="6" t="n">
        <v>0</v>
      </c>
      <c r="L148" s="6" t="n">
        <v>4.1</v>
      </c>
      <c r="M148" s="6" t="n">
        <v>725847.99</v>
      </c>
      <c r="N148" s="6" t="n">
        <v>122698.73</v>
      </c>
      <c r="O148" s="8">
        <f>IF(AND(ISNUMBER(L148),ISNUMBER(J148)),0,1)</f>
        <v/>
      </c>
    </row>
    <row r="149">
      <c r="A149" s="2" t="inlineStr">
        <is>
          <t>STR-1039</t>
        </is>
      </c>
      <c r="B149" s="3" t="n">
        <v>45658</v>
      </c>
      <c r="C149" s="2" t="inlineStr">
        <is>
          <t>East</t>
        </is>
      </c>
      <c r="D149" s="2" t="inlineStr">
        <is>
          <t>High Street</t>
        </is>
      </c>
      <c r="E149" s="2" t="n">
        <v>75645.23</v>
      </c>
      <c r="F149" s="2" t="n">
        <v>9674</v>
      </c>
      <c r="G149" s="2" t="n">
        <v>0.234</v>
      </c>
      <c r="H149" s="2" t="n">
        <v>21</v>
      </c>
      <c r="I149" s="2" t="n">
        <v>87.40000000000001</v>
      </c>
      <c r="J149" s="2" t="n">
        <v>0.2</v>
      </c>
      <c r="K149" s="2" t="n">
        <v>0</v>
      </c>
      <c r="L149" s="2" t="n">
        <v>4.5</v>
      </c>
      <c r="M149" s="2" t="n">
        <v>785028.25</v>
      </c>
      <c r="N149" s="2" t="n">
        <v>110726.44</v>
      </c>
      <c r="O149" s="5">
        <f>IF(AND(ISNUMBER(L149),ISNUMBER(J149)),0,1)</f>
        <v/>
      </c>
    </row>
    <row r="150">
      <c r="A150" s="6" t="inlineStr">
        <is>
          <t>STR-1039</t>
        </is>
      </c>
      <c r="B150" s="7" t="n">
        <v>45689</v>
      </c>
      <c r="C150" s="6" t="inlineStr">
        <is>
          <t>East</t>
        </is>
      </c>
      <c r="D150" s="6" t="inlineStr">
        <is>
          <t>High Street</t>
        </is>
      </c>
      <c r="E150" s="6" t="n">
        <v>64374.75</v>
      </c>
      <c r="F150" s="6" t="n">
        <v>6740</v>
      </c>
      <c r="G150" s="6" t="n">
        <v>0.169</v>
      </c>
      <c r="H150" s="6" t="n">
        <v>18</v>
      </c>
      <c r="I150" s="6" t="n">
        <v>87</v>
      </c>
      <c r="J150" s="6" t="n">
        <v>2.09</v>
      </c>
      <c r="K150" s="6" t="n">
        <v>0</v>
      </c>
      <c r="L150" s="6" t="n">
        <v>4.2</v>
      </c>
      <c r="M150" s="6" t="n">
        <v>698492.67</v>
      </c>
      <c r="N150" s="6" t="n">
        <v>117319.32</v>
      </c>
      <c r="O150" s="8">
        <f>IF(AND(ISNUMBER(L150),ISNUMBER(J150)),0,1)</f>
        <v/>
      </c>
    </row>
    <row r="151">
      <c r="A151" s="2" t="inlineStr">
        <is>
          <t>STR-1039</t>
        </is>
      </c>
      <c r="B151" s="3" t="n">
        <v>45717</v>
      </c>
      <c r="C151" s="2" t="inlineStr">
        <is>
          <t>East</t>
        </is>
      </c>
      <c r="D151" s="2" t="inlineStr">
        <is>
          <t>High Street</t>
        </is>
      </c>
      <c r="E151" s="2" t="n">
        <v>61433.84</v>
      </c>
      <c r="F151" s="2" t="n">
        <v>7745</v>
      </c>
      <c r="G151" s="2" t="n">
        <v>0.18</v>
      </c>
      <c r="H151" s="2" t="n">
        <v>16</v>
      </c>
      <c r="I151" s="2" t="n">
        <v>90.5</v>
      </c>
      <c r="J151" s="2" t="n">
        <v>2.26</v>
      </c>
      <c r="K151" s="2" t="n">
        <v>0</v>
      </c>
      <c r="L151" s="2" t="n">
        <v>4.2</v>
      </c>
      <c r="M151" s="2" t="n">
        <v>685830.24</v>
      </c>
      <c r="N151" s="2" t="n">
        <v>128736.18</v>
      </c>
      <c r="O151" s="5">
        <f>IF(AND(ISNUMBER(L151),ISNUMBER(J151)),0,1)</f>
        <v/>
      </c>
    </row>
    <row r="152">
      <c r="A152" s="6" t="inlineStr">
        <is>
          <t>STR-1039</t>
        </is>
      </c>
      <c r="B152" s="7" t="n">
        <v>45748</v>
      </c>
      <c r="C152" s="6" t="inlineStr">
        <is>
          <t>East</t>
        </is>
      </c>
      <c r="D152" s="6" t="inlineStr">
        <is>
          <t>High Street</t>
        </is>
      </c>
      <c r="E152" s="6" t="n">
        <v>42698.14</v>
      </c>
      <c r="F152" s="6" t="n">
        <v>7693</v>
      </c>
      <c r="G152" s="6" t="n">
        <v>0.187</v>
      </c>
      <c r="H152" s="6" t="n">
        <v>19</v>
      </c>
      <c r="I152" s="6" t="n">
        <v>90.09999999999999</v>
      </c>
      <c r="J152" s="6" t="n">
        <v>0.44</v>
      </c>
      <c r="K152" s="6" t="n">
        <v>0</v>
      </c>
      <c r="L152" s="6" t="n">
        <v>4.4</v>
      </c>
      <c r="M152" s="6" t="n">
        <v>702318.9399999999</v>
      </c>
      <c r="N152" s="6" t="n">
        <v>112829.29</v>
      </c>
      <c r="O152" s="8">
        <f>IF(AND(ISNUMBER(L152),ISNUMBER(J152)),0,1)</f>
        <v/>
      </c>
    </row>
    <row r="153">
      <c r="A153" s="2" t="inlineStr">
        <is>
          <t>STR-1040</t>
        </is>
      </c>
      <c r="B153" s="3" t="n">
        <v>45658</v>
      </c>
      <c r="C153" s="2" t="inlineStr">
        <is>
          <t>North</t>
        </is>
      </c>
      <c r="D153" s="2" t="inlineStr">
        <is>
          <t>Mall</t>
        </is>
      </c>
      <c r="E153" s="2" t="n">
        <v>86883.31</v>
      </c>
      <c r="F153" s="2" t="n">
        <v>6424</v>
      </c>
      <c r="G153" s="2" t="n">
        <v>0.057</v>
      </c>
      <c r="H153" s="2" t="n">
        <v>19</v>
      </c>
      <c r="I153" s="2" t="n">
        <v>85.2</v>
      </c>
      <c r="J153" s="2" t="n">
        <v>3.08</v>
      </c>
      <c r="K153" s="2" t="n">
        <v>0</v>
      </c>
      <c r="L153" s="2" t="n">
        <v>3.9</v>
      </c>
      <c r="M153" s="2" t="n">
        <v>700078.3199999999</v>
      </c>
      <c r="N153" s="2" t="n">
        <v>123707.58</v>
      </c>
      <c r="O153" s="5">
        <f>IF(AND(ISNUMBER(L153),ISNUMBER(J153)),0,1)</f>
        <v/>
      </c>
    </row>
    <row r="154">
      <c r="A154" s="6" t="inlineStr">
        <is>
          <t>STR-1040</t>
        </is>
      </c>
      <c r="B154" s="7" t="n">
        <v>45689</v>
      </c>
      <c r="C154" s="6" t="inlineStr">
        <is>
          <t>North</t>
        </is>
      </c>
      <c r="D154" s="6" t="inlineStr">
        <is>
          <t>Mall</t>
        </is>
      </c>
      <c r="E154" s="6" t="n">
        <v>41863.08</v>
      </c>
      <c r="F154" s="6" t="n">
        <v>5400</v>
      </c>
      <c r="G154" s="6" t="n">
        <v>0.114</v>
      </c>
      <c r="H154" s="6" t="n">
        <v>11</v>
      </c>
      <c r="I154" s="6" t="n">
        <v>91.59999999999999</v>
      </c>
      <c r="J154" s="6" t="n">
        <v>7.99</v>
      </c>
      <c r="K154" s="6" t="n">
        <v>0</v>
      </c>
      <c r="L154" s="6" t="n">
        <v>3</v>
      </c>
      <c r="M154" s="6" t="n">
        <v>602002.3199999999</v>
      </c>
      <c r="N154" s="6" t="n">
        <v>110453.28</v>
      </c>
      <c r="O154" s="8">
        <f>IF(AND(ISNUMBER(L154),ISNUMBER(J154)),0,1)</f>
        <v/>
      </c>
    </row>
    <row r="155">
      <c r="A155" s="2" t="inlineStr">
        <is>
          <t>STR-1040</t>
        </is>
      </c>
      <c r="B155" s="3" t="n">
        <v>45717</v>
      </c>
      <c r="C155" s="2" t="inlineStr">
        <is>
          <t>North</t>
        </is>
      </c>
      <c r="D155" s="2" t="inlineStr">
        <is>
          <t>Mall</t>
        </is>
      </c>
      <c r="E155" s="2" t="n">
        <v>56918.16</v>
      </c>
      <c r="F155" s="2" t="n">
        <v>7015</v>
      </c>
      <c r="G155" s="2" t="n">
        <v>0.158</v>
      </c>
      <c r="H155" s="2" t="n">
        <v>18</v>
      </c>
      <c r="I155" s="2" t="n">
        <v>74.2</v>
      </c>
      <c r="J155" s="2" t="n">
        <v>0.2</v>
      </c>
      <c r="K155" s="2" t="n">
        <v>0</v>
      </c>
      <c r="L155" s="2" t="n">
        <v>3.4</v>
      </c>
      <c r="M155" s="2" t="n">
        <v>724216.0699999999</v>
      </c>
      <c r="N155" s="2" t="n">
        <v>100627.56</v>
      </c>
      <c r="O155" s="5">
        <f>IF(AND(ISNUMBER(L155),ISNUMBER(J155)),0,1)</f>
        <v/>
      </c>
    </row>
    <row r="156">
      <c r="A156" s="6" t="inlineStr">
        <is>
          <t>STR-1040</t>
        </is>
      </c>
      <c r="B156" s="7" t="n">
        <v>45748</v>
      </c>
      <c r="C156" s="6" t="inlineStr">
        <is>
          <t>North</t>
        </is>
      </c>
      <c r="D156" s="6" t="inlineStr">
        <is>
          <t>Mall</t>
        </is>
      </c>
      <c r="E156" s="6" t="n">
        <v>23254.57</v>
      </c>
      <c r="F156" s="6" t="n">
        <v>3847</v>
      </c>
      <c r="G156" s="6" t="n">
        <v>0.159</v>
      </c>
      <c r="H156" s="6" t="n">
        <v>12</v>
      </c>
      <c r="I156" s="6" t="n">
        <v>93</v>
      </c>
      <c r="J156" s="6" t="n">
        <v>5.46</v>
      </c>
      <c r="K156" s="6" t="n">
        <v>0</v>
      </c>
      <c r="L156" s="6" t="n">
        <v>3.3</v>
      </c>
      <c r="M156" s="6" t="n">
        <v>620973.03</v>
      </c>
      <c r="N156" s="6" t="n">
        <v>72303.85000000001</v>
      </c>
      <c r="O156" s="8">
        <f>IF(AND(ISNUMBER(L156),ISNUMBER(J156)),0,1)</f>
        <v/>
      </c>
    </row>
    <row r="157">
      <c r="A157" s="2" t="inlineStr">
        <is>
          <t>STR-1041</t>
        </is>
      </c>
      <c r="B157" s="3" t="n">
        <v>45658</v>
      </c>
      <c r="C157" s="2" t="inlineStr">
        <is>
          <t>South</t>
        </is>
      </c>
      <c r="D157" s="2" t="inlineStr">
        <is>
          <t>High Street</t>
        </is>
      </c>
      <c r="E157" s="2" t="n">
        <v>41443.41</v>
      </c>
      <c r="F157" s="2" t="n">
        <v>7455</v>
      </c>
      <c r="G157" s="2" t="n">
        <v>0.175</v>
      </c>
      <c r="H157" s="2" t="n">
        <v>16</v>
      </c>
      <c r="I157" s="2" t="n">
        <v>90.09999999999999</v>
      </c>
      <c r="J157" s="2" t="n">
        <v>4.05</v>
      </c>
      <c r="K157" s="2" t="n">
        <v>0</v>
      </c>
      <c r="L157" s="2" t="n">
        <v>4</v>
      </c>
      <c r="M157" s="2" t="n">
        <v>650480.0600000001</v>
      </c>
      <c r="N157" s="2" t="n">
        <v>109012.07</v>
      </c>
      <c r="O157" s="5">
        <f>IF(AND(ISNUMBER(L157),ISNUMBER(J157)),0,1)</f>
        <v/>
      </c>
    </row>
    <row r="158">
      <c r="A158" s="6" t="inlineStr">
        <is>
          <t>STR-1041</t>
        </is>
      </c>
      <c r="B158" s="7" t="n">
        <v>45689</v>
      </c>
      <c r="C158" s="6" t="inlineStr">
        <is>
          <t>South</t>
        </is>
      </c>
      <c r="D158" s="6" t="inlineStr">
        <is>
          <t>High Street</t>
        </is>
      </c>
      <c r="E158" s="6" t="n">
        <v>48438.85</v>
      </c>
      <c r="F158" s="6" t="n">
        <v>6992</v>
      </c>
      <c r="G158" s="6" t="n">
        <v>0.034</v>
      </c>
      <c r="H158" s="6" t="n">
        <v>20</v>
      </c>
      <c r="I158" s="6" t="n">
        <v>91</v>
      </c>
      <c r="J158" s="6" t="n">
        <v>4.36</v>
      </c>
      <c r="K158" s="6" t="n">
        <v>0</v>
      </c>
      <c r="L158" s="6" t="n">
        <v>4.2</v>
      </c>
      <c r="M158" s="6" t="n">
        <v>778298.88</v>
      </c>
      <c r="N158" s="6" t="n">
        <v>130076.72</v>
      </c>
      <c r="O158" s="8">
        <f>IF(AND(ISNUMBER(L158),ISNUMBER(J158)),0,1)</f>
        <v/>
      </c>
    </row>
    <row r="159">
      <c r="A159" s="2" t="inlineStr">
        <is>
          <t>STR-1041</t>
        </is>
      </c>
      <c r="B159" s="3" t="n">
        <v>45748</v>
      </c>
      <c r="C159" s="2" t="inlineStr">
        <is>
          <t>South</t>
        </is>
      </c>
      <c r="D159" s="2" t="inlineStr">
        <is>
          <t>High Street</t>
        </is>
      </c>
      <c r="E159" s="2" t="n">
        <v>66870.62</v>
      </c>
      <c r="F159" s="2" t="n">
        <v>6055</v>
      </c>
      <c r="G159" s="2" t="n">
        <v>0.075</v>
      </c>
      <c r="H159" s="2" t="n">
        <v>19</v>
      </c>
      <c r="I159" s="2" t="n">
        <v>93.8</v>
      </c>
      <c r="J159" s="2" t="n">
        <v>0.54</v>
      </c>
      <c r="K159" s="2" t="n">
        <v>0</v>
      </c>
      <c r="L159" s="2" t="n">
        <v>4.3</v>
      </c>
      <c r="M159" s="2" t="n">
        <v>692008.64</v>
      </c>
      <c r="N159" s="2" t="n">
        <v>116337.87</v>
      </c>
      <c r="O159" s="5">
        <f>IF(AND(ISNUMBER(L159),ISNUMBER(J159)),0,1)</f>
        <v/>
      </c>
    </row>
    <row r="160">
      <c r="A160" s="6" t="inlineStr">
        <is>
          <t>STR-1042</t>
        </is>
      </c>
      <c r="B160" s="7" t="n">
        <v>45658</v>
      </c>
      <c r="C160" s="6" t="inlineStr">
        <is>
          <t>North</t>
        </is>
      </c>
      <c r="D160" s="6" t="inlineStr">
        <is>
          <t>Mall</t>
        </is>
      </c>
      <c r="E160" s="6" t="n">
        <v>72150.53</v>
      </c>
      <c r="F160" s="6" t="n">
        <v>9323</v>
      </c>
      <c r="G160" s="6" t="n">
        <v>0.157</v>
      </c>
      <c r="H160" s="6" t="n">
        <v>22</v>
      </c>
      <c r="I160" s="6" t="n">
        <v>82.90000000000001</v>
      </c>
      <c r="J160" s="6" t="n">
        <v>11.37</v>
      </c>
      <c r="K160" s="6" t="n">
        <v>1</v>
      </c>
      <c r="L160" s="6" t="n">
        <v>4.3</v>
      </c>
      <c r="M160" s="6" t="n">
        <v>825797.91</v>
      </c>
      <c r="N160" s="6" t="n">
        <v>130945.24</v>
      </c>
      <c r="O160" s="8">
        <f>IF(AND(ISNUMBER(L160),ISNUMBER(J160)),0,1)</f>
        <v/>
      </c>
    </row>
    <row r="161">
      <c r="A161" s="2" t="inlineStr">
        <is>
          <t>STR-1042</t>
        </is>
      </c>
      <c r="B161" s="3" t="n">
        <v>45689</v>
      </c>
      <c r="C161" s="2" t="inlineStr">
        <is>
          <t>North</t>
        </is>
      </c>
      <c r="D161" s="2" t="inlineStr">
        <is>
          <t>Mall</t>
        </is>
      </c>
      <c r="E161" s="2" t="n">
        <v>35303.3</v>
      </c>
      <c r="F161" s="2" t="n">
        <v>8789</v>
      </c>
      <c r="G161" s="2" t="n">
        <v>0.123</v>
      </c>
      <c r="H161" s="2" t="n">
        <v>22</v>
      </c>
      <c r="I161" s="2" t="n">
        <v>86.09999999999999</v>
      </c>
      <c r="J161" s="2" t="n">
        <v>9.43</v>
      </c>
      <c r="K161" s="2" t="n">
        <v>0</v>
      </c>
      <c r="L161" s="2" t="n">
        <v>4.2</v>
      </c>
      <c r="M161" s="2" t="n">
        <v>706285.52</v>
      </c>
      <c r="N161" s="2" t="n">
        <v>138014.72</v>
      </c>
      <c r="O161" s="5">
        <f>IF(AND(ISNUMBER(L161),ISNUMBER(J161)),0,1)</f>
        <v/>
      </c>
    </row>
    <row r="162">
      <c r="A162" s="6" t="inlineStr">
        <is>
          <t>STR-1042</t>
        </is>
      </c>
      <c r="B162" s="7" t="n">
        <v>45717</v>
      </c>
      <c r="C162" s="6" t="inlineStr">
        <is>
          <t>North</t>
        </is>
      </c>
      <c r="D162" s="6" t="inlineStr">
        <is>
          <t>Mall</t>
        </is>
      </c>
      <c r="E162" s="6" t="n">
        <v>30301.86</v>
      </c>
      <c r="F162" s="6" t="n">
        <v>6939</v>
      </c>
      <c r="G162" s="6" t="n">
        <v>0.09</v>
      </c>
      <c r="H162" s="6" t="n">
        <v>16</v>
      </c>
      <c r="I162" s="6" t="n">
        <v>90.3</v>
      </c>
      <c r="J162" s="6" t="n">
        <v>3.49</v>
      </c>
      <c r="K162" s="6" t="n">
        <v>0</v>
      </c>
      <c r="L162" s="6" t="n">
        <v>4</v>
      </c>
      <c r="M162" s="6" t="n">
        <v>665534.7</v>
      </c>
      <c r="N162" s="6" t="n">
        <v>113167.73</v>
      </c>
      <c r="O162" s="8">
        <f>IF(AND(ISNUMBER(L162),ISNUMBER(J162)),0,1)</f>
        <v/>
      </c>
    </row>
    <row r="163">
      <c r="A163" s="2" t="inlineStr">
        <is>
          <t>STR-1042</t>
        </is>
      </c>
      <c r="B163" s="3" t="n">
        <v>45748</v>
      </c>
      <c r="C163" s="2" t="inlineStr">
        <is>
          <t>North</t>
        </is>
      </c>
      <c r="D163" s="2" t="inlineStr">
        <is>
          <t>Mall</t>
        </is>
      </c>
      <c r="E163" s="2" t="n">
        <v>78432.14</v>
      </c>
      <c r="F163" s="2" t="n">
        <v>9440</v>
      </c>
      <c r="G163" s="2" t="n">
        <v>0.126</v>
      </c>
      <c r="H163" s="2" t="n">
        <v>23</v>
      </c>
      <c r="I163" s="2" t="n">
        <v>89.2</v>
      </c>
      <c r="J163" s="2" t="n">
        <v>7.86</v>
      </c>
      <c r="K163" s="2" t="n">
        <v>0</v>
      </c>
      <c r="L163" s="2" t="n">
        <v>4.1</v>
      </c>
      <c r="M163" s="2" t="n">
        <v>820729.29</v>
      </c>
      <c r="N163" s="2" t="n">
        <v>159325.47</v>
      </c>
      <c r="O163" s="5">
        <f>IF(AND(ISNUMBER(L163),ISNUMBER(J163)),0,1)</f>
        <v/>
      </c>
    </row>
    <row r="164">
      <c r="A164" s="6" t="inlineStr">
        <is>
          <t>STR-1043</t>
        </is>
      </c>
      <c r="B164" s="7" t="n">
        <v>45658</v>
      </c>
      <c r="C164" s="6" t="inlineStr">
        <is>
          <t>East</t>
        </is>
      </c>
      <c r="D164" s="6" t="inlineStr">
        <is>
          <t>Residential</t>
        </is>
      </c>
      <c r="E164" s="6" t="n">
        <v>62059.18</v>
      </c>
      <c r="F164" s="6" t="n">
        <v>9374</v>
      </c>
      <c r="G164" s="6" t="n">
        <v>0.136</v>
      </c>
      <c r="H164" s="6" t="n">
        <v>25</v>
      </c>
      <c r="I164" s="6" t="n">
        <v>87.09999999999999</v>
      </c>
      <c r="J164" s="6" t="n">
        <v>12.55</v>
      </c>
      <c r="K164" s="6" t="n">
        <v>0</v>
      </c>
      <c r="L164" s="6" t="n">
        <v>4.9</v>
      </c>
      <c r="M164" s="6" t="n">
        <v>739831.73</v>
      </c>
      <c r="N164" s="6" t="n">
        <v>119490.21</v>
      </c>
      <c r="O164" s="8">
        <f>IF(AND(ISNUMBER(L164),ISNUMBER(J164)),0,1)</f>
        <v/>
      </c>
    </row>
    <row r="165">
      <c r="A165" s="2" t="inlineStr">
        <is>
          <t>STR-1043</t>
        </is>
      </c>
      <c r="B165" s="3" t="n">
        <v>45689</v>
      </c>
      <c r="C165" s="2" t="inlineStr">
        <is>
          <t>East</t>
        </is>
      </c>
      <c r="D165" s="2" t="inlineStr">
        <is>
          <t>Residential</t>
        </is>
      </c>
      <c r="E165" s="2" t="n">
        <v>32834.48</v>
      </c>
      <c r="F165" s="2" t="n">
        <v>7576</v>
      </c>
      <c r="G165" s="2" t="n">
        <v>0.099</v>
      </c>
      <c r="H165" s="2" t="n">
        <v>15</v>
      </c>
      <c r="I165" s="2" t="n">
        <v>84.09999999999999</v>
      </c>
      <c r="J165" s="2" t="n">
        <v>3.48</v>
      </c>
      <c r="K165" s="2" t="n">
        <v>0</v>
      </c>
      <c r="L165" s="2" t="n">
        <v>5</v>
      </c>
      <c r="M165" s="2" t="n">
        <v>593637.14</v>
      </c>
      <c r="N165" s="2" t="n">
        <v>106648.14</v>
      </c>
      <c r="O165" s="5">
        <f>IF(AND(ISNUMBER(L165),ISNUMBER(J165)),0,1)</f>
        <v/>
      </c>
    </row>
    <row r="166">
      <c r="A166" s="6" t="inlineStr">
        <is>
          <t>STR-1043</t>
        </is>
      </c>
      <c r="B166" s="7" t="n">
        <v>45717</v>
      </c>
      <c r="C166" s="6" t="inlineStr">
        <is>
          <t>East</t>
        </is>
      </c>
      <c r="D166" s="6" t="inlineStr">
        <is>
          <t>Residential</t>
        </is>
      </c>
      <c r="E166" s="6" t="n">
        <v>50825.08</v>
      </c>
      <c r="F166" s="6" t="n">
        <v>8949</v>
      </c>
      <c r="G166" s="6" t="n">
        <v>0.157</v>
      </c>
      <c r="H166" s="6" t="n">
        <v>21</v>
      </c>
      <c r="I166" s="6" t="n">
        <v>84.7</v>
      </c>
      <c r="J166" s="6" t="n">
        <v>7.73</v>
      </c>
      <c r="K166" s="6" t="n">
        <v>0</v>
      </c>
      <c r="L166" s="6" t="n">
        <v>4.9</v>
      </c>
      <c r="M166" s="6" t="n">
        <v>769702.76</v>
      </c>
      <c r="N166" s="6" t="n">
        <v>158697</v>
      </c>
      <c r="O166" s="8">
        <f>IF(AND(ISNUMBER(L166),ISNUMBER(J166)),0,1)</f>
        <v/>
      </c>
    </row>
    <row r="167">
      <c r="A167" s="2" t="inlineStr">
        <is>
          <t>STR-1043</t>
        </is>
      </c>
      <c r="B167" s="3" t="n">
        <v>45748</v>
      </c>
      <c r="C167" s="2" t="inlineStr">
        <is>
          <t>East</t>
        </is>
      </c>
      <c r="D167" s="2" t="inlineStr">
        <is>
          <t>Residential</t>
        </is>
      </c>
      <c r="E167" s="2" t="n">
        <v>36606.51</v>
      </c>
      <c r="F167" s="2" t="n">
        <v>7671</v>
      </c>
      <c r="G167" s="2" t="n">
        <v>0.118</v>
      </c>
      <c r="H167" s="2" t="n">
        <v>18</v>
      </c>
      <c r="I167" s="2" t="n">
        <v>89.8</v>
      </c>
      <c r="J167" s="2" t="n">
        <v>0.25</v>
      </c>
      <c r="K167" s="2" t="n">
        <v>0</v>
      </c>
      <c r="L167" s="2" t="n">
        <v>4.4</v>
      </c>
      <c r="M167" s="2" t="n">
        <v>679731.5699999999</v>
      </c>
      <c r="N167" s="2" t="n">
        <v>121546.42</v>
      </c>
      <c r="O167" s="5">
        <f>IF(AND(ISNUMBER(L167),ISNUMBER(J167)),0,1)</f>
        <v/>
      </c>
    </row>
    <row r="168">
      <c r="A168" s="6" t="inlineStr">
        <is>
          <t>STR-1044</t>
        </is>
      </c>
      <c r="B168" s="7" t="n">
        <v>45658</v>
      </c>
      <c r="C168" s="6" t="inlineStr">
        <is>
          <t>East</t>
        </is>
      </c>
      <c r="D168" s="6" t="inlineStr">
        <is>
          <t>Residential</t>
        </is>
      </c>
      <c r="E168" s="6" t="n">
        <v>65237.79</v>
      </c>
      <c r="F168" s="6" t="n">
        <v>8741</v>
      </c>
      <c r="G168" s="6" t="n">
        <v>0.157</v>
      </c>
      <c r="H168" s="6" t="n">
        <v>20</v>
      </c>
      <c r="I168" s="6" t="n">
        <v>94.40000000000001</v>
      </c>
      <c r="J168" s="6" t="n">
        <v>6.43</v>
      </c>
      <c r="K168" s="6" t="n">
        <v>0</v>
      </c>
      <c r="L168" s="6" t="n">
        <v>3.3</v>
      </c>
      <c r="M168" s="6" t="n">
        <v>780344.1800000001</v>
      </c>
      <c r="N168" s="6" t="n">
        <v>118239.09</v>
      </c>
      <c r="O168" s="8">
        <f>IF(AND(ISNUMBER(L168),ISNUMBER(J168)),0,1)</f>
        <v/>
      </c>
    </row>
    <row r="169">
      <c r="A169" s="2" t="inlineStr">
        <is>
          <t>STR-1044</t>
        </is>
      </c>
      <c r="B169" s="3" t="n">
        <v>45689</v>
      </c>
      <c r="C169" s="2" t="inlineStr">
        <is>
          <t>East</t>
        </is>
      </c>
      <c r="D169" s="2" t="inlineStr">
        <is>
          <t>Residential</t>
        </is>
      </c>
      <c r="E169" s="2" t="n">
        <v>43645.98</v>
      </c>
      <c r="F169" s="2" t="n">
        <v>9480</v>
      </c>
      <c r="G169" s="2" t="n">
        <v>0.109</v>
      </c>
      <c r="H169" s="2" t="n">
        <v>22</v>
      </c>
      <c r="I169" s="2" t="n">
        <v>89</v>
      </c>
      <c r="J169" s="2" t="n">
        <v>2.11</v>
      </c>
      <c r="K169" s="2" t="n">
        <v>0</v>
      </c>
      <c r="L169" s="2" t="n">
        <v>3.1</v>
      </c>
      <c r="M169" s="2" t="n">
        <v>721364.11</v>
      </c>
      <c r="N169" s="2" t="n">
        <v>147272.81</v>
      </c>
      <c r="O169" s="5">
        <f>IF(AND(ISNUMBER(L169),ISNUMBER(J169)),0,1)</f>
        <v/>
      </c>
    </row>
    <row r="170">
      <c r="A170" s="6" t="inlineStr">
        <is>
          <t>STR-1044</t>
        </is>
      </c>
      <c r="B170" s="7" t="n">
        <v>45717</v>
      </c>
      <c r="C170" s="6" t="inlineStr">
        <is>
          <t>East</t>
        </is>
      </c>
      <c r="D170" s="6" t="inlineStr">
        <is>
          <t>Residential</t>
        </is>
      </c>
      <c r="E170" s="6" t="n">
        <v>68040.14999999999</v>
      </c>
      <c r="F170" s="6" t="n">
        <v>9826</v>
      </c>
      <c r="G170" s="6" t="n">
        <v>0.125</v>
      </c>
      <c r="H170" s="6" t="n">
        <v>20</v>
      </c>
      <c r="I170" s="6" t="n">
        <v>83.90000000000001</v>
      </c>
      <c r="J170" s="6" t="n">
        <v>9.119999999999999</v>
      </c>
      <c r="K170" s="6" t="n">
        <v>0</v>
      </c>
      <c r="L170" s="6" t="n">
        <v>3.6</v>
      </c>
      <c r="M170" s="6" t="n">
        <v>758138.29</v>
      </c>
      <c r="N170" s="6" t="n">
        <v>132975.26</v>
      </c>
      <c r="O170" s="8">
        <f>IF(AND(ISNUMBER(L170),ISNUMBER(J170)),0,1)</f>
        <v/>
      </c>
    </row>
    <row r="171">
      <c r="A171" s="2" t="inlineStr">
        <is>
          <t>STR-1044</t>
        </is>
      </c>
      <c r="B171" s="3" t="n">
        <v>45748</v>
      </c>
      <c r="C171" s="2" t="inlineStr">
        <is>
          <t>East</t>
        </is>
      </c>
      <c r="D171" s="2" t="inlineStr">
        <is>
          <t>Residential</t>
        </is>
      </c>
      <c r="E171" s="2" t="n">
        <v>63043.94</v>
      </c>
      <c r="F171" s="2" t="n">
        <v>10402</v>
      </c>
      <c r="G171" s="2" t="n">
        <v>0.159</v>
      </c>
      <c r="H171" s="2" t="n">
        <v>23</v>
      </c>
      <c r="I171" s="2" t="n">
        <v>93.90000000000001</v>
      </c>
      <c r="J171" s="2" t="n">
        <v>2.71</v>
      </c>
      <c r="K171" s="2" t="n">
        <v>0</v>
      </c>
      <c r="L171" s="2" t="n">
        <v>3.1</v>
      </c>
      <c r="M171" s="2" t="n">
        <v>804264</v>
      </c>
      <c r="N171" s="2" t="n">
        <v>167117.91</v>
      </c>
      <c r="O171" s="5">
        <f>IF(AND(ISNUMBER(L171),ISNUMBER(J171)),0,1)</f>
        <v/>
      </c>
    </row>
    <row r="172">
      <c r="A172" s="6" t="inlineStr">
        <is>
          <t>STR-1045</t>
        </is>
      </c>
      <c r="B172" s="7" t="n">
        <v>45658</v>
      </c>
      <c r="C172" s="6" t="inlineStr">
        <is>
          <t>West</t>
        </is>
      </c>
      <c r="D172" s="6" t="inlineStr">
        <is>
          <t>Airport</t>
        </is>
      </c>
      <c r="E172" s="6" t="n">
        <v>67494.09</v>
      </c>
      <c r="F172" s="6" t="n">
        <v>12361</v>
      </c>
      <c r="G172" s="6" t="n">
        <v>0.046</v>
      </c>
      <c r="H172" s="6" t="n">
        <v>24</v>
      </c>
      <c r="I172" s="6" t="n">
        <v>76.59999999999999</v>
      </c>
      <c r="J172" s="6" t="n">
        <v>3.65</v>
      </c>
      <c r="K172" s="6" t="n">
        <v>1</v>
      </c>
      <c r="L172" s="6" t="n">
        <v>3.7</v>
      </c>
      <c r="M172" s="6" t="n">
        <v>887537.75</v>
      </c>
      <c r="N172" s="6" t="n">
        <v>160362.92</v>
      </c>
      <c r="O172" s="8">
        <f>IF(AND(ISNUMBER(L172),ISNUMBER(J172)),0,1)</f>
        <v/>
      </c>
    </row>
    <row r="173">
      <c r="A173" s="2" t="inlineStr">
        <is>
          <t>STR-1045</t>
        </is>
      </c>
      <c r="B173" s="3" t="n">
        <v>45689</v>
      </c>
      <c r="C173" s="2" t="inlineStr">
        <is>
          <t>West</t>
        </is>
      </c>
      <c r="D173" s="2" t="inlineStr">
        <is>
          <t>Airport</t>
        </is>
      </c>
      <c r="E173" s="2" t="n">
        <v>29389.32</v>
      </c>
      <c r="F173" s="2" t="n">
        <v>7925</v>
      </c>
      <c r="G173" s="2" t="n">
        <v>0.177</v>
      </c>
      <c r="H173" s="2" t="n">
        <v>21</v>
      </c>
      <c r="I173" s="2" t="n">
        <v>90.90000000000001</v>
      </c>
      <c r="J173" s="2" t="n">
        <v>7.86</v>
      </c>
      <c r="K173" s="2" t="n">
        <v>0</v>
      </c>
      <c r="L173" s="2" t="n">
        <v>4</v>
      </c>
      <c r="M173" s="2" t="n">
        <v>783582</v>
      </c>
      <c r="N173" s="2" t="n">
        <v>130670.93</v>
      </c>
      <c r="O173" s="5">
        <f>IF(AND(ISNUMBER(L173),ISNUMBER(J173)),0,1)</f>
        <v/>
      </c>
    </row>
    <row r="174">
      <c r="A174" s="6" t="inlineStr">
        <is>
          <t>STR-1045</t>
        </is>
      </c>
      <c r="B174" s="7" t="n">
        <v>45717</v>
      </c>
      <c r="C174" s="6" t="inlineStr">
        <is>
          <t>West</t>
        </is>
      </c>
      <c r="D174" s="6" t="inlineStr">
        <is>
          <t>Airport</t>
        </is>
      </c>
      <c r="E174" s="6" t="n">
        <v>40535.09</v>
      </c>
      <c r="F174" s="6" t="n">
        <v>8870</v>
      </c>
      <c r="G174" s="6" t="n">
        <v>0.041</v>
      </c>
      <c r="H174" s="6" t="n">
        <v>21</v>
      </c>
      <c r="I174" s="6" t="n">
        <v>86.59999999999999</v>
      </c>
      <c r="J174" s="6" t="n">
        <v>0.3</v>
      </c>
      <c r="K174" s="6" t="n">
        <v>0</v>
      </c>
      <c r="L174" s="6" t="n">
        <v>4.1</v>
      </c>
      <c r="M174" s="6" t="n">
        <v>781955.52</v>
      </c>
      <c r="N174" s="6" t="n">
        <v>152578.71</v>
      </c>
      <c r="O174" s="8">
        <f>IF(AND(ISNUMBER(L174),ISNUMBER(J174)),0,1)</f>
        <v/>
      </c>
    </row>
    <row r="175">
      <c r="A175" s="2" t="inlineStr">
        <is>
          <t>STR-1045</t>
        </is>
      </c>
      <c r="B175" s="3" t="n">
        <v>45748</v>
      </c>
      <c r="C175" s="2" t="inlineStr">
        <is>
          <t>West</t>
        </is>
      </c>
      <c r="D175" s="2" t="inlineStr">
        <is>
          <t>Airport</t>
        </is>
      </c>
      <c r="E175" s="2" t="n">
        <v>74881.56</v>
      </c>
      <c r="F175" s="2" t="n">
        <v>9999</v>
      </c>
      <c r="G175" s="2" t="n">
        <v>0.013</v>
      </c>
      <c r="H175" s="2" t="n">
        <v>20</v>
      </c>
      <c r="I175" s="2" t="n">
        <v>89.59999999999999</v>
      </c>
      <c r="J175" s="2" t="n">
        <v>8.44</v>
      </c>
      <c r="K175" s="2" t="n">
        <v>0</v>
      </c>
      <c r="L175" s="2" t="n">
        <v>4.1</v>
      </c>
      <c r="M175" s="2" t="n">
        <v>898031.04</v>
      </c>
      <c r="N175" s="2" t="n">
        <v>138666.5</v>
      </c>
      <c r="O175" s="5">
        <f>IF(AND(ISNUMBER(L175),ISNUMBER(J175)),0,1)</f>
        <v/>
      </c>
    </row>
    <row r="176">
      <c r="A176" s="6" t="inlineStr">
        <is>
          <t>STR-1046</t>
        </is>
      </c>
      <c r="B176" s="7" t="n">
        <v>45658</v>
      </c>
      <c r="C176" s="6" t="inlineStr">
        <is>
          <t>West</t>
        </is>
      </c>
      <c r="D176" s="6" t="inlineStr">
        <is>
          <t>Residential</t>
        </is>
      </c>
      <c r="E176" s="6" t="n">
        <v>68491.11</v>
      </c>
      <c r="F176" s="6" t="n">
        <v>11154</v>
      </c>
      <c r="G176" s="6" t="n">
        <v>0.001</v>
      </c>
      <c r="H176" s="6" t="n">
        <v>24</v>
      </c>
      <c r="I176" s="6" t="n">
        <v>89.40000000000001</v>
      </c>
      <c r="J176" s="6" t="n">
        <v>5.27</v>
      </c>
      <c r="K176" s="6" t="n">
        <v>1</v>
      </c>
      <c r="L176" s="6" t="n">
        <v>3.9</v>
      </c>
      <c r="M176" s="6" t="n">
        <v>855341.28</v>
      </c>
      <c r="N176" s="6" t="n">
        <v>175823.8</v>
      </c>
      <c r="O176" s="8">
        <f>IF(AND(ISNUMBER(L176),ISNUMBER(J176)),0,1)</f>
        <v/>
      </c>
    </row>
    <row r="177">
      <c r="A177" s="2" t="inlineStr">
        <is>
          <t>STR-1046</t>
        </is>
      </c>
      <c r="B177" s="3" t="n">
        <v>45689</v>
      </c>
      <c r="C177" s="2" t="inlineStr">
        <is>
          <t>West</t>
        </is>
      </c>
      <c r="D177" s="2" t="inlineStr">
        <is>
          <t>Residential</t>
        </is>
      </c>
      <c r="E177" s="2" t="n">
        <v>45209.25</v>
      </c>
      <c r="F177" s="2" t="n">
        <v>9287</v>
      </c>
      <c r="G177" s="2" t="n">
        <v>0.141</v>
      </c>
      <c r="H177" s="2" t="n">
        <v>22</v>
      </c>
      <c r="I177" s="2" t="n">
        <v>86.40000000000001</v>
      </c>
      <c r="J177" s="2" t="n">
        <v>13.22</v>
      </c>
      <c r="K177" s="2" t="n">
        <v>0</v>
      </c>
      <c r="L177" s="2" t="n">
        <v>3.6</v>
      </c>
      <c r="M177" s="2" t="n">
        <v>751393.88</v>
      </c>
      <c r="N177" s="2" t="n">
        <v>91480.32000000001</v>
      </c>
      <c r="O177" s="5">
        <f>IF(AND(ISNUMBER(L177),ISNUMBER(J177)),0,1)</f>
        <v/>
      </c>
    </row>
    <row r="178">
      <c r="A178" s="6" t="inlineStr">
        <is>
          <t>STR-1046</t>
        </is>
      </c>
      <c r="B178" s="7" t="n">
        <v>45717</v>
      </c>
      <c r="C178" s="6" t="inlineStr">
        <is>
          <t>West</t>
        </is>
      </c>
      <c r="D178" s="6" t="inlineStr">
        <is>
          <t>Residential</t>
        </is>
      </c>
      <c r="E178" s="6" t="n">
        <v>63010.23</v>
      </c>
      <c r="F178" s="6" t="n">
        <v>9812</v>
      </c>
      <c r="G178" s="6" t="n">
        <v>0.113</v>
      </c>
      <c r="H178" s="6" t="n">
        <v>24</v>
      </c>
      <c r="I178" s="6" t="n">
        <v>76.8</v>
      </c>
      <c r="J178" s="6" t="n">
        <v>1.02</v>
      </c>
      <c r="K178" s="6" t="n">
        <v>1</v>
      </c>
      <c r="L178" s="6" t="n">
        <v>3.8</v>
      </c>
      <c r="M178" s="6" t="n">
        <v>761077.08</v>
      </c>
      <c r="N178" s="6" t="n">
        <v>113605.93</v>
      </c>
      <c r="O178" s="8">
        <f>IF(AND(ISNUMBER(L178),ISNUMBER(J178)),0,1)</f>
        <v/>
      </c>
    </row>
    <row r="179">
      <c r="A179" s="2" t="inlineStr">
        <is>
          <t>STR-1046</t>
        </is>
      </c>
      <c r="B179" s="3" t="n">
        <v>45748</v>
      </c>
      <c r="C179" s="2" t="inlineStr">
        <is>
          <t>West</t>
        </is>
      </c>
      <c r="D179" s="2" t="inlineStr">
        <is>
          <t>Residential</t>
        </is>
      </c>
      <c r="E179" s="2" t="n">
        <v>57948.88</v>
      </c>
      <c r="F179" s="2" t="n">
        <v>10741</v>
      </c>
      <c r="G179" s="2" t="n">
        <v>0.07000000000000001</v>
      </c>
      <c r="H179" s="2" t="n">
        <v>25</v>
      </c>
      <c r="I179" s="2" t="n">
        <v>90.09999999999999</v>
      </c>
      <c r="J179" s="2" t="n">
        <v>4.03</v>
      </c>
      <c r="K179" s="2" t="n">
        <v>0</v>
      </c>
      <c r="L179" s="2" t="n">
        <v>3.1</v>
      </c>
      <c r="M179" s="2" t="n">
        <v>819660.59</v>
      </c>
      <c r="N179" s="2" t="n">
        <v>172699.95</v>
      </c>
      <c r="O179" s="5">
        <f>IF(AND(ISNUMBER(L179),ISNUMBER(J179)),0,1)</f>
        <v/>
      </c>
    </row>
    <row r="180">
      <c r="A180" s="6" t="inlineStr">
        <is>
          <t>STR-1047</t>
        </is>
      </c>
      <c r="B180" s="7" t="n">
        <v>45658</v>
      </c>
      <c r="C180" s="6" t="inlineStr">
        <is>
          <t>North</t>
        </is>
      </c>
      <c r="D180" s="6" t="inlineStr">
        <is>
          <t>High Street</t>
        </is>
      </c>
      <c r="E180" s="6" t="n">
        <v>71941.62</v>
      </c>
      <c r="F180" s="6" t="n">
        <v>6084</v>
      </c>
      <c r="G180" s="6" t="n">
        <v>0.07199999999999999</v>
      </c>
      <c r="H180" s="6" t="n">
        <v>13</v>
      </c>
      <c r="I180" s="6" t="n">
        <v>93.7</v>
      </c>
      <c r="J180" s="6" t="n">
        <v>2.34</v>
      </c>
      <c r="K180" s="6" t="n">
        <v>0</v>
      </c>
      <c r="L180" s="6" t="n">
        <v>4.4</v>
      </c>
      <c r="M180" s="6" t="n">
        <v>681855.5600000001</v>
      </c>
      <c r="N180" s="6" t="n">
        <v>117645.61</v>
      </c>
      <c r="O180" s="8">
        <f>IF(AND(ISNUMBER(L180),ISNUMBER(J180)),0,1)</f>
        <v/>
      </c>
    </row>
    <row r="181">
      <c r="A181" s="2" t="inlineStr">
        <is>
          <t>STR-1047</t>
        </is>
      </c>
      <c r="B181" s="3" t="n">
        <v>45689</v>
      </c>
      <c r="C181" s="2" t="inlineStr">
        <is>
          <t>North</t>
        </is>
      </c>
      <c r="D181" s="2" t="inlineStr">
        <is>
          <t>High Street</t>
        </is>
      </c>
      <c r="E181" s="2" t="n">
        <v>57147.88</v>
      </c>
      <c r="F181" s="2" t="n">
        <v>5252</v>
      </c>
      <c r="G181" s="2" t="n">
        <v>0.161</v>
      </c>
      <c r="H181" s="2" t="n">
        <v>15</v>
      </c>
      <c r="I181" s="2" t="n">
        <v>95.5</v>
      </c>
      <c r="J181" s="2" t="n">
        <v>8.51</v>
      </c>
      <c r="K181" s="2" t="n">
        <v>0</v>
      </c>
      <c r="L181" s="2" t="n">
        <v>4.4</v>
      </c>
      <c r="M181" s="2" t="n">
        <v>678311.17</v>
      </c>
      <c r="N181" s="2" t="n">
        <v>132029.76</v>
      </c>
      <c r="O181" s="5">
        <f>IF(AND(ISNUMBER(L181),ISNUMBER(J181)),0,1)</f>
        <v/>
      </c>
    </row>
    <row r="182">
      <c r="A182" s="6" t="inlineStr">
        <is>
          <t>STR-1047</t>
        </is>
      </c>
      <c r="B182" s="7" t="n">
        <v>45717</v>
      </c>
      <c r="C182" s="6" t="inlineStr">
        <is>
          <t>North</t>
        </is>
      </c>
      <c r="D182" s="6" t="inlineStr">
        <is>
          <t>High Street</t>
        </is>
      </c>
      <c r="E182" s="6" t="n">
        <v>48031.74</v>
      </c>
      <c r="F182" s="6" t="n">
        <v>6516</v>
      </c>
      <c r="G182" s="6" t="n">
        <v>0.067</v>
      </c>
      <c r="H182" s="6" t="n">
        <v>14</v>
      </c>
      <c r="I182" s="6" t="n">
        <v>99</v>
      </c>
      <c r="J182" s="6" t="n">
        <v>0.48</v>
      </c>
      <c r="K182" s="6" t="n">
        <v>1</v>
      </c>
      <c r="L182" s="6" t="n">
        <v>4.3</v>
      </c>
      <c r="M182" s="6" t="n">
        <v>765906.95</v>
      </c>
      <c r="N182" s="6" t="n">
        <v>114005.9</v>
      </c>
      <c r="O182" s="8">
        <f>IF(AND(ISNUMBER(L182),ISNUMBER(J182)),0,1)</f>
        <v/>
      </c>
    </row>
    <row r="183">
      <c r="A183" s="2" t="inlineStr">
        <is>
          <t>STR-1047</t>
        </is>
      </c>
      <c r="B183" s="3" t="n">
        <v>45748</v>
      </c>
      <c r="C183" s="2" t="inlineStr">
        <is>
          <t>North</t>
        </is>
      </c>
      <c r="D183" s="2" t="inlineStr">
        <is>
          <t>High Street</t>
        </is>
      </c>
      <c r="E183" s="2" t="n">
        <v>72784.8</v>
      </c>
      <c r="F183" s="2" t="n">
        <v>7932</v>
      </c>
      <c r="G183" s="2" t="n">
        <v>0.094</v>
      </c>
      <c r="H183" s="2" t="n">
        <v>20</v>
      </c>
      <c r="I183" s="2" t="n">
        <v>74.90000000000001</v>
      </c>
      <c r="J183" s="2" t="n">
        <v>13.62</v>
      </c>
      <c r="K183" s="2" t="n">
        <v>0</v>
      </c>
      <c r="L183" s="2" t="n">
        <v>4.2</v>
      </c>
      <c r="M183" s="2" t="n">
        <v>712546.38</v>
      </c>
      <c r="N183" s="2" t="n">
        <v>101480.04</v>
      </c>
      <c r="O183" s="5">
        <f>IF(AND(ISNUMBER(L183),ISNUMBER(J183)),0,1)</f>
        <v/>
      </c>
    </row>
    <row r="184">
      <c r="A184" s="6" t="inlineStr">
        <is>
          <t>STR-1048</t>
        </is>
      </c>
      <c r="B184" s="7" t="n">
        <v>45658</v>
      </c>
      <c r="C184" s="6" t="inlineStr">
        <is>
          <t>East</t>
        </is>
      </c>
      <c r="D184" s="6" t="inlineStr">
        <is>
          <t>High Street</t>
        </is>
      </c>
      <c r="E184" s="6" t="n">
        <v>71641.89999999999</v>
      </c>
      <c r="F184" s="6" t="n">
        <v>3506</v>
      </c>
      <c r="G184" s="6" t="n">
        <v>0</v>
      </c>
      <c r="H184" s="6" t="n">
        <v>11</v>
      </c>
      <c r="I184" s="6" t="n">
        <v>86.40000000000001</v>
      </c>
      <c r="J184" s="6" t="n">
        <v>7.77</v>
      </c>
      <c r="K184" s="6" t="n">
        <v>0</v>
      </c>
      <c r="L184" s="6" t="n">
        <v>4.1</v>
      </c>
      <c r="M184" s="6" t="n">
        <v>625993.83</v>
      </c>
      <c r="N184" s="6" t="n">
        <v>98960.32000000001</v>
      </c>
      <c r="O184" s="8">
        <f>IF(AND(ISNUMBER(L184),ISNUMBER(J184)),0,1)</f>
        <v/>
      </c>
    </row>
    <row r="185">
      <c r="A185" s="2" t="inlineStr">
        <is>
          <t>STR-1048</t>
        </is>
      </c>
      <c r="B185" s="3" t="n">
        <v>45689</v>
      </c>
      <c r="C185" s="2" t="inlineStr">
        <is>
          <t>East</t>
        </is>
      </c>
      <c r="D185" s="2" t="inlineStr">
        <is>
          <t>High Street</t>
        </is>
      </c>
      <c r="E185" s="2" t="n">
        <v>55788.61</v>
      </c>
      <c r="F185" s="2" t="n">
        <v>2312</v>
      </c>
      <c r="G185" s="2" t="n">
        <v>0.058</v>
      </c>
      <c r="H185" s="2" t="n">
        <v>10</v>
      </c>
      <c r="I185" s="2" t="n">
        <v>91.3</v>
      </c>
      <c r="J185" s="2" t="n">
        <v>1.99</v>
      </c>
      <c r="K185" s="2" t="n">
        <v>0</v>
      </c>
      <c r="L185" s="2" t="n">
        <v>3.8</v>
      </c>
      <c r="M185" s="2" t="n">
        <v>550962.9300000001</v>
      </c>
      <c r="N185" s="2" t="n">
        <v>97144.58</v>
      </c>
      <c r="O185" s="5">
        <f>IF(AND(ISNUMBER(L185),ISNUMBER(J185)),0,1)</f>
        <v/>
      </c>
    </row>
    <row r="186">
      <c r="A186" s="6" t="inlineStr">
        <is>
          <t>STR-1048</t>
        </is>
      </c>
      <c r="B186" s="7" t="n">
        <v>45717</v>
      </c>
      <c r="C186" s="6" t="inlineStr">
        <is>
          <t>East</t>
        </is>
      </c>
      <c r="D186" s="6" t="inlineStr">
        <is>
          <t>High Street</t>
        </is>
      </c>
      <c r="E186" s="6" t="n">
        <v>37705.88</v>
      </c>
      <c r="F186" s="6" t="n">
        <v>1268</v>
      </c>
      <c r="G186" s="6" t="n">
        <v>0.259</v>
      </c>
      <c r="H186" s="6" t="n">
        <v>9</v>
      </c>
      <c r="I186" s="6" t="n">
        <v>84.09999999999999</v>
      </c>
      <c r="J186" s="6" t="n">
        <v>4.77</v>
      </c>
      <c r="K186" s="6" t="n">
        <v>0</v>
      </c>
      <c r="L186" s="6" t="n">
        <v>3.8</v>
      </c>
      <c r="M186" s="6" t="n">
        <v>443275.59</v>
      </c>
      <c r="N186" s="6" t="n">
        <v>53544.36</v>
      </c>
      <c r="O186" s="8">
        <f>IF(AND(ISNUMBER(L186),ISNUMBER(J186)),0,1)</f>
        <v/>
      </c>
    </row>
    <row r="187">
      <c r="A187" s="2" t="inlineStr">
        <is>
          <t>STR-1048</t>
        </is>
      </c>
      <c r="B187" s="3" t="n">
        <v>45748</v>
      </c>
      <c r="C187" s="2" t="inlineStr">
        <is>
          <t>East</t>
        </is>
      </c>
      <c r="D187" s="2" t="inlineStr">
        <is>
          <t>High Street</t>
        </is>
      </c>
      <c r="E187" s="2" t="n">
        <v>54966.18</v>
      </c>
      <c r="F187" s="2" t="n">
        <v>4423</v>
      </c>
      <c r="G187" s="2" t="n">
        <v>0.186</v>
      </c>
      <c r="H187" s="2" t="n">
        <v>13</v>
      </c>
      <c r="I187" s="2" t="n">
        <v>88.7</v>
      </c>
      <c r="J187" s="2" t="n">
        <v>0.2</v>
      </c>
      <c r="K187" s="2" t="n">
        <v>0</v>
      </c>
      <c r="L187" s="2" t="n">
        <v>4.4</v>
      </c>
      <c r="M187" s="2" t="n">
        <v>554012.0699999999</v>
      </c>
      <c r="N187" s="2" t="n">
        <v>81101.62</v>
      </c>
      <c r="O187" s="5">
        <f>IF(AND(ISNUMBER(L187),ISNUMBER(J187)),0,1)</f>
        <v/>
      </c>
    </row>
    <row r="188">
      <c r="A188" s="6" t="inlineStr">
        <is>
          <t>STR-1049</t>
        </is>
      </c>
      <c r="B188" s="7" t="n">
        <v>45658</v>
      </c>
      <c r="C188" s="6" t="inlineStr">
        <is>
          <t>West</t>
        </is>
      </c>
      <c r="D188" s="6" t="inlineStr">
        <is>
          <t>Residential</t>
        </is>
      </c>
      <c r="E188" s="6" t="n">
        <v>81796.74000000001</v>
      </c>
      <c r="F188" s="6" t="n">
        <v>6177</v>
      </c>
      <c r="G188" s="6" t="n">
        <v>0.164</v>
      </c>
      <c r="H188" s="6" t="n">
        <v>14</v>
      </c>
      <c r="I188" s="6" t="n">
        <v>87.90000000000001</v>
      </c>
      <c r="J188" s="6" t="n">
        <v>0.53</v>
      </c>
      <c r="K188" s="6" t="n">
        <v>0</v>
      </c>
      <c r="L188" s="6" t="n">
        <v>3.2</v>
      </c>
      <c r="M188" s="6" t="n">
        <v>643428.85</v>
      </c>
      <c r="N188" s="6" t="n">
        <v>94477.63</v>
      </c>
      <c r="O188" s="8">
        <f>IF(AND(ISNUMBER(L188),ISNUMBER(J188)),0,1)</f>
        <v/>
      </c>
    </row>
    <row r="189">
      <c r="A189" s="2" t="inlineStr">
        <is>
          <t>STR-1049</t>
        </is>
      </c>
      <c r="B189" s="3" t="n">
        <v>45689</v>
      </c>
      <c r="C189" s="2" t="inlineStr">
        <is>
          <t>West</t>
        </is>
      </c>
      <c r="D189" s="2" t="inlineStr">
        <is>
          <t>Residential</t>
        </is>
      </c>
      <c r="E189" s="2" t="n">
        <v>51133.43</v>
      </c>
      <c r="F189" s="2" t="n">
        <v>5150</v>
      </c>
      <c r="G189" s="2" t="n">
        <v>0.15</v>
      </c>
      <c r="H189" s="2" t="n">
        <v>12</v>
      </c>
      <c r="I189" s="2" t="n">
        <v>88.5</v>
      </c>
      <c r="J189" s="2" t="n">
        <v>1.54</v>
      </c>
      <c r="K189" s="2" t="n">
        <v>0</v>
      </c>
      <c r="L189" s="2" t="n">
        <v>3.2</v>
      </c>
      <c r="M189" s="2" t="n">
        <v>611924.27</v>
      </c>
      <c r="N189" s="2" t="n">
        <v>115488.75</v>
      </c>
      <c r="O189" s="5">
        <f>IF(AND(ISNUMBER(L189),ISNUMBER(J189)),0,1)</f>
        <v/>
      </c>
    </row>
    <row r="190">
      <c r="A190" s="6" t="inlineStr">
        <is>
          <t>STR-1049</t>
        </is>
      </c>
      <c r="B190" s="7" t="n">
        <v>45717</v>
      </c>
      <c r="C190" s="6" t="inlineStr">
        <is>
          <t>West</t>
        </is>
      </c>
      <c r="D190" s="6" t="inlineStr">
        <is>
          <t>Residential</t>
        </is>
      </c>
      <c r="E190" s="6" t="n">
        <v>40220.18</v>
      </c>
      <c r="F190" s="6" t="n">
        <v>3783</v>
      </c>
      <c r="G190" s="6" t="n">
        <v>0.089</v>
      </c>
      <c r="H190" s="6" t="n">
        <v>14</v>
      </c>
      <c r="I190" s="6" t="n">
        <v>86.59999999999999</v>
      </c>
      <c r="J190" s="6" t="n">
        <v>3.63</v>
      </c>
      <c r="K190" s="6" t="n">
        <v>0</v>
      </c>
      <c r="L190" s="6" t="n">
        <v>3.7</v>
      </c>
      <c r="M190" s="6" t="n">
        <v>559422.02</v>
      </c>
      <c r="N190" s="6" t="n">
        <v>73528.74000000001</v>
      </c>
      <c r="O190" s="8">
        <f>IF(AND(ISNUMBER(L190),ISNUMBER(J190)),0,1)</f>
        <v/>
      </c>
    </row>
    <row r="191">
      <c r="A191" s="2" t="inlineStr">
        <is>
          <t>STR-1050</t>
        </is>
      </c>
      <c r="B191" s="3" t="n">
        <v>45658</v>
      </c>
      <c r="C191" s="2" t="inlineStr">
        <is>
          <t>North</t>
        </is>
      </c>
      <c r="D191" s="2" t="inlineStr">
        <is>
          <t>Residential</t>
        </is>
      </c>
      <c r="E191" s="2" t="n">
        <v>71851.45</v>
      </c>
      <c r="F191" s="2" t="n">
        <v>4970</v>
      </c>
      <c r="G191" s="2" t="n">
        <v>0.098</v>
      </c>
      <c r="H191" s="2" t="n">
        <v>11</v>
      </c>
      <c r="I191" s="2" t="n">
        <v>89.59999999999999</v>
      </c>
      <c r="J191" s="2" t="n">
        <v>0.2</v>
      </c>
      <c r="K191" s="2" t="n">
        <v>0</v>
      </c>
      <c r="L191" s="2" t="n">
        <v>4.2</v>
      </c>
      <c r="M191" s="2" t="n">
        <v>691447.4300000001</v>
      </c>
      <c r="N191" s="2" t="n">
        <v>114077.69</v>
      </c>
      <c r="O191" s="5">
        <f>IF(AND(ISNUMBER(L191),ISNUMBER(J191)),0,1)</f>
        <v/>
      </c>
    </row>
    <row r="192">
      <c r="A192" s="6" t="inlineStr">
        <is>
          <t>STR-1050</t>
        </is>
      </c>
      <c r="B192" s="7" t="n">
        <v>45689</v>
      </c>
      <c r="C192" s="6" t="inlineStr">
        <is>
          <t>North</t>
        </is>
      </c>
      <c r="D192" s="6" t="inlineStr">
        <is>
          <t>Residential</t>
        </is>
      </c>
      <c r="E192" s="6" t="n">
        <v>54002.83</v>
      </c>
      <c r="F192" s="6" t="n">
        <v>4366</v>
      </c>
      <c r="G192" s="6" t="n">
        <v>0.027</v>
      </c>
      <c r="H192" s="6" t="n">
        <v>15</v>
      </c>
      <c r="I192" s="6" t="n">
        <v>90.59999999999999</v>
      </c>
      <c r="J192" s="6" t="n">
        <v>12.82</v>
      </c>
      <c r="K192" s="6" t="n">
        <v>0</v>
      </c>
      <c r="L192" s="6" t="n">
        <v>4.6</v>
      </c>
      <c r="M192" s="6" t="n">
        <v>574066.61</v>
      </c>
      <c r="N192" s="6" t="n">
        <v>124674.67</v>
      </c>
      <c r="O192" s="8">
        <f>IF(AND(ISNUMBER(L192),ISNUMBER(J192)),0,1)</f>
        <v/>
      </c>
    </row>
    <row r="193">
      <c r="A193" s="2" t="inlineStr">
        <is>
          <t>STR-1050</t>
        </is>
      </c>
      <c r="B193" s="3" t="n">
        <v>45717</v>
      </c>
      <c r="C193" s="2" t="inlineStr">
        <is>
          <t>North</t>
        </is>
      </c>
      <c r="D193" s="2" t="inlineStr">
        <is>
          <t>Residential</t>
        </is>
      </c>
      <c r="E193" s="2" t="n">
        <v>54479.33</v>
      </c>
      <c r="F193" s="2" t="n">
        <v>5012</v>
      </c>
      <c r="G193" s="2" t="n">
        <v>0.284</v>
      </c>
      <c r="H193" s="2" t="n">
        <v>13</v>
      </c>
      <c r="I193" s="2" t="n">
        <v>86</v>
      </c>
      <c r="J193" s="2" t="n">
        <v>2.24</v>
      </c>
      <c r="K193" s="2" t="n">
        <v>1</v>
      </c>
      <c r="L193" s="2" t="n">
        <v>4.3</v>
      </c>
      <c r="M193" s="2" t="n">
        <v>578949.84</v>
      </c>
      <c r="N193" s="2" t="n">
        <v>80253.64999999999</v>
      </c>
      <c r="O193" s="5">
        <f>IF(AND(ISNUMBER(L193),ISNUMBER(J193)),0,1)</f>
        <v/>
      </c>
    </row>
    <row r="194">
      <c r="A194" s="6" t="inlineStr">
        <is>
          <t>STR-1050</t>
        </is>
      </c>
      <c r="B194" s="7" t="n">
        <v>45748</v>
      </c>
      <c r="C194" s="6" t="inlineStr">
        <is>
          <t>North</t>
        </is>
      </c>
      <c r="D194" s="6" t="inlineStr">
        <is>
          <t>Residential</t>
        </is>
      </c>
      <c r="E194" s="6" t="n">
        <v>61391.8</v>
      </c>
      <c r="F194" s="6" t="n">
        <v>5575</v>
      </c>
      <c r="G194" s="6" t="n">
        <v>0.189</v>
      </c>
      <c r="H194" s="6" t="n">
        <v>18</v>
      </c>
      <c r="I194" s="6" t="n">
        <v>90</v>
      </c>
      <c r="J194" s="6" t="n">
        <v>1.8</v>
      </c>
      <c r="K194" s="6" t="n">
        <v>0</v>
      </c>
      <c r="L194" s="6" t="n">
        <v>4.8</v>
      </c>
      <c r="M194" s="6" t="n">
        <v>735786.64</v>
      </c>
      <c r="N194" s="6" t="n">
        <v>126540.66</v>
      </c>
      <c r="O194" s="8">
        <f>IF(AND(ISNUMBER(L194),ISNUMBER(J194)),0,1)</f>
        <v/>
      </c>
    </row>
    <row r="195">
      <c r="A195" s="2" t="inlineStr">
        <is>
          <t>STR-1051</t>
        </is>
      </c>
      <c r="B195" s="3" t="n">
        <v>45658</v>
      </c>
      <c r="C195" s="2" t="inlineStr">
        <is>
          <t>East</t>
        </is>
      </c>
      <c r="D195" s="2" t="inlineStr">
        <is>
          <t>Airport</t>
        </is>
      </c>
      <c r="E195" s="2" t="n">
        <v>22312.93</v>
      </c>
      <c r="F195" s="2" t="n">
        <v>5955</v>
      </c>
      <c r="G195" s="2" t="n">
        <v>0.123</v>
      </c>
      <c r="H195" s="2" t="n">
        <v>13</v>
      </c>
      <c r="I195" s="2" t="n">
        <v>84.2</v>
      </c>
      <c r="J195" s="2" t="n">
        <v>0.41</v>
      </c>
      <c r="K195" s="2" t="n">
        <v>1</v>
      </c>
      <c r="L195" s="2" t="n">
        <v>4.6</v>
      </c>
      <c r="M195" s="2" t="n">
        <v>598904.9</v>
      </c>
      <c r="N195" s="2" t="n">
        <v>72861</v>
      </c>
      <c r="O195" s="5">
        <f>IF(AND(ISNUMBER(L195),ISNUMBER(J195)),0,1)</f>
        <v/>
      </c>
    </row>
    <row r="196">
      <c r="A196" s="6" t="inlineStr">
        <is>
          <t>STR-1051</t>
        </is>
      </c>
      <c r="B196" s="7" t="n">
        <v>45689</v>
      </c>
      <c r="C196" s="6" t="inlineStr">
        <is>
          <t>East</t>
        </is>
      </c>
      <c r="D196" s="6" t="inlineStr">
        <is>
          <t>Airport</t>
        </is>
      </c>
      <c r="E196" s="6" t="n">
        <v>78111.97</v>
      </c>
      <c r="F196" s="6" t="n">
        <v>6389</v>
      </c>
      <c r="G196" s="6" t="n">
        <v>0.15</v>
      </c>
      <c r="H196" s="6" t="n">
        <v>13</v>
      </c>
      <c r="I196" s="6" t="n">
        <v>83.90000000000001</v>
      </c>
      <c r="J196" s="6" t="n">
        <v>3.05</v>
      </c>
      <c r="K196" s="6" t="n">
        <v>0</v>
      </c>
      <c r="L196" s="6" t="n">
        <v>4.8</v>
      </c>
      <c r="M196" s="6" t="n">
        <v>787715.51</v>
      </c>
      <c r="N196" s="6" t="n">
        <v>128969.62</v>
      </c>
      <c r="O196" s="8">
        <f>IF(AND(ISNUMBER(L196),ISNUMBER(J196)),0,1)</f>
        <v/>
      </c>
    </row>
    <row r="197">
      <c r="A197" s="2" t="inlineStr">
        <is>
          <t>STR-1051</t>
        </is>
      </c>
      <c r="B197" s="3" t="n">
        <v>45717</v>
      </c>
      <c r="C197" s="2" t="inlineStr">
        <is>
          <t>East</t>
        </is>
      </c>
      <c r="D197" s="2" t="inlineStr">
        <is>
          <t>Airport</t>
        </is>
      </c>
      <c r="E197" s="2" t="n">
        <v>35203.23</v>
      </c>
      <c r="F197" s="2" t="n">
        <v>6896</v>
      </c>
      <c r="G197" s="2" t="n">
        <v>0.032</v>
      </c>
      <c r="H197" s="2" t="n">
        <v>14</v>
      </c>
      <c r="I197" s="2" t="n">
        <v>80.8</v>
      </c>
      <c r="J197" s="2" t="n">
        <v>8.44</v>
      </c>
      <c r="K197" s="2" t="n">
        <v>1</v>
      </c>
      <c r="L197" s="2" t="n">
        <v>5</v>
      </c>
      <c r="M197" s="2" t="n">
        <v>607084.92</v>
      </c>
      <c r="N197" s="2" t="n">
        <v>98558.49000000001</v>
      </c>
      <c r="O197" s="5">
        <f>IF(AND(ISNUMBER(L197),ISNUMBER(J197)),0,1)</f>
        <v/>
      </c>
    </row>
    <row r="198">
      <c r="A198" s="6" t="inlineStr">
        <is>
          <t>STR-1051</t>
        </is>
      </c>
      <c r="B198" s="7" t="n">
        <v>45748</v>
      </c>
      <c r="C198" s="6" t="inlineStr">
        <is>
          <t>East</t>
        </is>
      </c>
      <c r="D198" s="6" t="inlineStr">
        <is>
          <t>Airport</t>
        </is>
      </c>
      <c r="E198" s="6" t="n">
        <v>64104.28</v>
      </c>
      <c r="F198" s="6" t="n">
        <v>6015</v>
      </c>
      <c r="G198" s="6" t="n">
        <v>0.127</v>
      </c>
      <c r="H198" s="6" t="n">
        <v>15</v>
      </c>
      <c r="I198" s="6" t="n">
        <v>88.7</v>
      </c>
      <c r="J198" s="6" t="n">
        <v>0.78</v>
      </c>
      <c r="K198" s="6" t="n">
        <v>0</v>
      </c>
      <c r="L198" s="6" t="n">
        <v>4</v>
      </c>
      <c r="M198" s="6" t="n">
        <v>650795.49</v>
      </c>
      <c r="N198" s="6" t="n">
        <v>103035.89</v>
      </c>
      <c r="O198" s="8">
        <f>IF(AND(ISNUMBER(L198),ISNUMBER(J198)),0,1)</f>
        <v/>
      </c>
    </row>
    <row r="199">
      <c r="A199" s="2" t="inlineStr">
        <is>
          <t>STR-1052</t>
        </is>
      </c>
      <c r="B199" s="3" t="n">
        <v>45658</v>
      </c>
      <c r="C199" s="2" t="inlineStr">
        <is>
          <t>East</t>
        </is>
      </c>
      <c r="D199" s="2" t="inlineStr">
        <is>
          <t>Mall</t>
        </is>
      </c>
      <c r="E199" s="2" t="n">
        <v>92090.14</v>
      </c>
      <c r="F199" s="2" t="n">
        <v>9476</v>
      </c>
      <c r="G199" s="2" t="n">
        <v>0.07000000000000001</v>
      </c>
      <c r="H199" s="2" t="n">
        <v>24</v>
      </c>
      <c r="I199" s="2" t="n">
        <v>94.3</v>
      </c>
      <c r="J199" s="2" t="n">
        <v>0.87</v>
      </c>
      <c r="K199" s="2" t="n">
        <v>0</v>
      </c>
      <c r="L199" s="2" t="n">
        <v>3.7</v>
      </c>
      <c r="M199" s="2" t="n">
        <v>825060.52</v>
      </c>
      <c r="N199" s="2" t="n">
        <v>143613.15</v>
      </c>
      <c r="O199" s="5">
        <f>IF(AND(ISNUMBER(L199),ISNUMBER(J199)),0,1)</f>
        <v/>
      </c>
    </row>
    <row r="200">
      <c r="A200" s="6" t="inlineStr">
        <is>
          <t>STR-1052</t>
        </is>
      </c>
      <c r="B200" s="7" t="n">
        <v>45689</v>
      </c>
      <c r="C200" s="6" t="inlineStr">
        <is>
          <t>East</t>
        </is>
      </c>
      <c r="D200" s="6" t="inlineStr">
        <is>
          <t>Mall</t>
        </is>
      </c>
      <c r="E200" s="6" t="n">
        <v>54300.87</v>
      </c>
      <c r="F200" s="6" t="n">
        <v>7875</v>
      </c>
      <c r="G200" s="6" t="n">
        <v>0.107</v>
      </c>
      <c r="H200" s="6" t="n">
        <v>19</v>
      </c>
      <c r="I200" s="6" t="n">
        <v>94.09999999999999</v>
      </c>
      <c r="J200" s="6" t="n">
        <v>0.95</v>
      </c>
      <c r="K200" s="6" t="n">
        <v>0</v>
      </c>
      <c r="L200" s="6" t="n">
        <v>3.7</v>
      </c>
      <c r="M200" s="6" t="n">
        <v>795464.47</v>
      </c>
      <c r="N200" s="6" t="n">
        <v>161150.52</v>
      </c>
      <c r="O200" s="8">
        <f>IF(AND(ISNUMBER(L200),ISNUMBER(J200)),0,1)</f>
        <v/>
      </c>
    </row>
    <row r="201">
      <c r="A201" s="2" t="inlineStr">
        <is>
          <t>STR-1052</t>
        </is>
      </c>
      <c r="B201" s="3" t="n">
        <v>45717</v>
      </c>
      <c r="C201" s="2" t="inlineStr">
        <is>
          <t>East</t>
        </is>
      </c>
      <c r="D201" s="2" t="inlineStr">
        <is>
          <t>Mall</t>
        </is>
      </c>
      <c r="E201" s="2" t="n">
        <v>37983.35</v>
      </c>
      <c r="F201" s="2" t="n">
        <v>9283</v>
      </c>
      <c r="G201" s="2" t="n">
        <v>0.149</v>
      </c>
      <c r="H201" s="2" t="n">
        <v>19</v>
      </c>
      <c r="I201" s="2" t="n">
        <v>83.2</v>
      </c>
      <c r="J201" s="2" t="n">
        <v>3.82</v>
      </c>
      <c r="K201" s="2" t="n">
        <v>0</v>
      </c>
      <c r="L201" s="2" t="n">
        <v>3.7</v>
      </c>
      <c r="M201" s="2" t="n">
        <v>671868.59</v>
      </c>
      <c r="N201" s="2" t="n">
        <v>71003.28</v>
      </c>
      <c r="O201" s="5">
        <f>IF(AND(ISNUMBER(L201),ISNUMBER(J201)),0,1)</f>
        <v/>
      </c>
    </row>
    <row r="202">
      <c r="A202" s="6" t="inlineStr">
        <is>
          <t>STR-1052</t>
        </is>
      </c>
      <c r="B202" s="7" t="n">
        <v>45748</v>
      </c>
      <c r="C202" s="6" t="inlineStr">
        <is>
          <t>East</t>
        </is>
      </c>
      <c r="D202" s="6" t="inlineStr">
        <is>
          <t>Mall</t>
        </is>
      </c>
      <c r="E202" s="6" t="n">
        <v>56413.83</v>
      </c>
      <c r="F202" s="6" t="n">
        <v>8303</v>
      </c>
      <c r="G202" s="6" t="n">
        <v>0.116</v>
      </c>
      <c r="H202" s="6" t="n">
        <v>18</v>
      </c>
      <c r="I202" s="6" t="n">
        <v>93.59999999999999</v>
      </c>
      <c r="J202" s="6" t="n">
        <v>2.7</v>
      </c>
      <c r="K202" s="6" t="n">
        <v>0</v>
      </c>
      <c r="L202" s="6" t="n">
        <v>3.7</v>
      </c>
      <c r="M202" s="6" t="n">
        <v>675917.63</v>
      </c>
      <c r="N202" s="6" t="n">
        <v>112564.75</v>
      </c>
      <c r="O202" s="8">
        <f>IF(AND(ISNUMBER(L202),ISNUMBER(J202)),0,1)</f>
        <v/>
      </c>
    </row>
    <row r="203">
      <c r="A203" s="2" t="inlineStr">
        <is>
          <t>STR-1053</t>
        </is>
      </c>
      <c r="B203" s="3" t="n">
        <v>45658</v>
      </c>
      <c r="C203" s="2" t="inlineStr">
        <is>
          <t>East</t>
        </is>
      </c>
      <c r="D203" s="2" t="inlineStr">
        <is>
          <t>High Street</t>
        </is>
      </c>
      <c r="E203" s="2" t="n">
        <v>63457.19</v>
      </c>
      <c r="F203" s="2" t="n">
        <v>10125</v>
      </c>
      <c r="G203" s="2" t="n">
        <v>0.097</v>
      </c>
      <c r="H203" s="2" t="n">
        <v>24</v>
      </c>
      <c r="I203" s="2" t="n">
        <v>87</v>
      </c>
      <c r="J203" s="2" t="n">
        <v>3.84</v>
      </c>
      <c r="K203" s="2" t="n">
        <v>1</v>
      </c>
      <c r="L203" s="2" t="n">
        <v>3.7</v>
      </c>
      <c r="M203" s="2" t="n">
        <v>810446.53</v>
      </c>
      <c r="N203" s="2" t="n">
        <v>200575.34</v>
      </c>
      <c r="O203" s="5">
        <f>IF(AND(ISNUMBER(L203),ISNUMBER(J203)),0,1)</f>
        <v/>
      </c>
    </row>
    <row r="204">
      <c r="A204" s="6" t="inlineStr">
        <is>
          <t>STR-1053</t>
        </is>
      </c>
      <c r="B204" s="7" t="n">
        <v>45689</v>
      </c>
      <c r="C204" s="6" t="inlineStr">
        <is>
          <t>East</t>
        </is>
      </c>
      <c r="D204" s="6" t="inlineStr">
        <is>
          <t>High Street</t>
        </is>
      </c>
      <c r="E204" s="6" t="n">
        <v>62949.7</v>
      </c>
      <c r="F204" s="6" t="n">
        <v>9458</v>
      </c>
      <c r="G204" s="6" t="n">
        <v>0.171</v>
      </c>
      <c r="H204" s="6" t="n">
        <v>19</v>
      </c>
      <c r="I204" s="6" t="n">
        <v>84.90000000000001</v>
      </c>
      <c r="J204" s="6" t="n">
        <v>5.09</v>
      </c>
      <c r="K204" s="6" t="n">
        <v>0</v>
      </c>
      <c r="L204" s="6" t="n">
        <v>3.3</v>
      </c>
      <c r="M204" s="6" t="n">
        <v>691288.1899999999</v>
      </c>
      <c r="N204" s="6" t="n">
        <v>159074.14</v>
      </c>
      <c r="O204" s="8">
        <f>IF(AND(ISNUMBER(L204),ISNUMBER(J204)),0,1)</f>
        <v/>
      </c>
    </row>
    <row r="205">
      <c r="A205" s="2" t="inlineStr">
        <is>
          <t>STR-1053</t>
        </is>
      </c>
      <c r="B205" s="3" t="n">
        <v>45717</v>
      </c>
      <c r="C205" s="2" t="inlineStr">
        <is>
          <t>East</t>
        </is>
      </c>
      <c r="D205" s="2" t="inlineStr">
        <is>
          <t>High Street</t>
        </is>
      </c>
      <c r="E205" s="2" t="n">
        <v>107970.19</v>
      </c>
      <c r="F205" s="2" t="n">
        <v>12870</v>
      </c>
      <c r="G205" s="2" t="n">
        <v>0.029</v>
      </c>
      <c r="H205" s="2" t="n">
        <v>31</v>
      </c>
      <c r="I205" s="2" t="n">
        <v>91.7</v>
      </c>
      <c r="J205" s="2" t="n">
        <v>3.82</v>
      </c>
      <c r="K205" s="2" t="n">
        <v>1</v>
      </c>
      <c r="L205" s="2" t="n">
        <v>3.7</v>
      </c>
      <c r="M205" s="2" t="n">
        <v>946833.54</v>
      </c>
      <c r="N205" s="2" t="n">
        <v>184540.31</v>
      </c>
      <c r="O205" s="5">
        <f>IF(AND(ISNUMBER(L205),ISNUMBER(J205)),0,1)</f>
        <v/>
      </c>
    </row>
    <row r="206">
      <c r="A206" s="6" t="inlineStr">
        <is>
          <t>STR-1053</t>
        </is>
      </c>
      <c r="B206" s="7" t="n">
        <v>45748</v>
      </c>
      <c r="C206" s="6" t="inlineStr">
        <is>
          <t>East</t>
        </is>
      </c>
      <c r="D206" s="6" t="inlineStr">
        <is>
          <t>High Street</t>
        </is>
      </c>
      <c r="E206" s="6" t="n">
        <v>49405.75</v>
      </c>
      <c r="F206" s="6" t="n">
        <v>9752</v>
      </c>
      <c r="G206" s="6" t="n">
        <v>0.093</v>
      </c>
      <c r="H206" s="6" t="n">
        <v>21</v>
      </c>
      <c r="I206" s="6" t="n">
        <v>87</v>
      </c>
      <c r="J206" s="6" t="n">
        <v>12.28</v>
      </c>
      <c r="K206" s="6" t="n">
        <v>0</v>
      </c>
      <c r="L206" s="6" t="n">
        <v>4.1</v>
      </c>
      <c r="M206" s="6" t="n">
        <v>761963.23</v>
      </c>
      <c r="N206" s="6" t="n">
        <v>150113.61</v>
      </c>
      <c r="O206" s="8">
        <f>IF(AND(ISNUMBER(L206),ISNUMBER(J206)),0,1)</f>
        <v/>
      </c>
    </row>
    <row r="207">
      <c r="A207" s="2" t="inlineStr">
        <is>
          <t>STR-1054</t>
        </is>
      </c>
      <c r="B207" s="3" t="n">
        <v>45658</v>
      </c>
      <c r="C207" s="2" t="inlineStr">
        <is>
          <t>West</t>
        </is>
      </c>
      <c r="D207" s="2" t="inlineStr">
        <is>
          <t>Residential</t>
        </is>
      </c>
      <c r="E207" s="2" t="n">
        <v>50887.46</v>
      </c>
      <c r="F207" s="2" t="n">
        <v>9505</v>
      </c>
      <c r="G207" s="2" t="n">
        <v>0.091</v>
      </c>
      <c r="H207" s="2" t="n">
        <v>25</v>
      </c>
      <c r="I207" s="2" t="n">
        <v>89.7</v>
      </c>
      <c r="J207" s="2" t="n">
        <v>2.8</v>
      </c>
      <c r="K207" s="2" t="n">
        <v>0</v>
      </c>
      <c r="L207" s="2" t="n">
        <v>4.3</v>
      </c>
      <c r="M207" s="2" t="n">
        <v>812152.6</v>
      </c>
      <c r="N207" s="2" t="n">
        <v>138419.43</v>
      </c>
      <c r="O207" s="5">
        <f>IF(AND(ISNUMBER(L207),ISNUMBER(J207)),0,1)</f>
        <v/>
      </c>
    </row>
    <row r="208">
      <c r="A208" s="6" t="inlineStr">
        <is>
          <t>STR-1054</t>
        </is>
      </c>
      <c r="B208" s="7" t="n">
        <v>45689</v>
      </c>
      <c r="C208" s="6" t="inlineStr">
        <is>
          <t>West</t>
        </is>
      </c>
      <c r="D208" s="6" t="inlineStr">
        <is>
          <t>Residential</t>
        </is>
      </c>
      <c r="E208" s="6" t="n">
        <v>41819.45</v>
      </c>
      <c r="F208" s="6" t="n">
        <v>9412</v>
      </c>
      <c r="G208" s="6" t="n">
        <v>0.15</v>
      </c>
      <c r="H208" s="6" t="n">
        <v>22</v>
      </c>
      <c r="I208" s="6" t="n">
        <v>91</v>
      </c>
      <c r="J208" s="6" t="n">
        <v>3.67</v>
      </c>
      <c r="K208" s="6" t="n">
        <v>0</v>
      </c>
      <c r="L208" s="6" t="n">
        <v>4.2</v>
      </c>
      <c r="M208" s="6" t="n">
        <v>804975.5</v>
      </c>
      <c r="N208" s="6" t="n">
        <v>140054.5</v>
      </c>
      <c r="O208" s="8">
        <f>IF(AND(ISNUMBER(L208),ISNUMBER(J208)),0,1)</f>
        <v/>
      </c>
    </row>
    <row r="209">
      <c r="A209" s="2" t="inlineStr">
        <is>
          <t>STR-1054</t>
        </is>
      </c>
      <c r="B209" s="3" t="n">
        <v>45717</v>
      </c>
      <c r="C209" s="2" t="inlineStr">
        <is>
          <t>West</t>
        </is>
      </c>
      <c r="D209" s="2" t="inlineStr">
        <is>
          <t>Residential</t>
        </is>
      </c>
      <c r="E209" s="2" t="n">
        <v>35296.54</v>
      </c>
      <c r="F209" s="2" t="n">
        <v>9644</v>
      </c>
      <c r="G209" s="2" t="n">
        <v>0</v>
      </c>
      <c r="H209" s="2" t="n">
        <v>22</v>
      </c>
      <c r="I209" s="2" t="n">
        <v>88</v>
      </c>
      <c r="J209" s="2" t="n">
        <v>2.81</v>
      </c>
      <c r="K209" s="2" t="n">
        <v>0</v>
      </c>
      <c r="L209" s="2" t="n">
        <v>4.7</v>
      </c>
      <c r="M209" s="2" t="n">
        <v>752321.72</v>
      </c>
      <c r="N209" s="2" t="n">
        <v>137788.51</v>
      </c>
      <c r="O209" s="5">
        <f>IF(AND(ISNUMBER(L209),ISNUMBER(J209)),0,1)</f>
        <v/>
      </c>
    </row>
    <row r="210">
      <c r="A210" s="6" t="inlineStr">
        <is>
          <t>STR-1054</t>
        </is>
      </c>
      <c r="B210" s="7" t="n">
        <v>45748</v>
      </c>
      <c r="C210" s="6" t="inlineStr">
        <is>
          <t>West</t>
        </is>
      </c>
      <c r="D210" s="6" t="inlineStr">
        <is>
          <t>Residential</t>
        </is>
      </c>
      <c r="E210" s="6" t="n">
        <v>47391.09</v>
      </c>
      <c r="F210" s="6" t="n">
        <v>11224</v>
      </c>
      <c r="G210" s="6" t="n">
        <v>0.147</v>
      </c>
      <c r="H210" s="6" t="n">
        <v>25</v>
      </c>
      <c r="I210" s="6" t="n">
        <v>88.40000000000001</v>
      </c>
      <c r="J210" s="6" t="n">
        <v>2.44</v>
      </c>
      <c r="K210" s="6" t="n">
        <v>0</v>
      </c>
      <c r="L210" s="6" t="n">
        <v>4.9</v>
      </c>
      <c r="M210" s="6" t="n">
        <v>836908.24</v>
      </c>
      <c r="N210" s="6" t="n">
        <v>141090.26</v>
      </c>
      <c r="O210" s="8">
        <f>IF(AND(ISNUMBER(L210),ISNUMBER(J210)),0,1)</f>
        <v/>
      </c>
    </row>
    <row r="211">
      <c r="A211" s="2" t="inlineStr">
        <is>
          <t>STR-1055</t>
        </is>
      </c>
      <c r="B211" s="3" t="n">
        <v>45658</v>
      </c>
      <c r="C211" s="2" t="inlineStr">
        <is>
          <t>North</t>
        </is>
      </c>
      <c r="D211" s="2" t="inlineStr">
        <is>
          <t>Airport</t>
        </is>
      </c>
      <c r="E211" s="2" t="n">
        <v>69180.53999999999</v>
      </c>
      <c r="F211" s="2" t="n">
        <v>5394</v>
      </c>
      <c r="G211" s="2" t="n">
        <v>0.126</v>
      </c>
      <c r="H211" s="2" t="n">
        <v>12</v>
      </c>
      <c r="I211" s="2" t="n">
        <v>82.90000000000001</v>
      </c>
      <c r="J211" s="2" t="n">
        <v>3.27</v>
      </c>
      <c r="K211" s="2" t="n">
        <v>0</v>
      </c>
      <c r="L211" s="2" t="n">
        <v>3.3</v>
      </c>
      <c r="M211" s="2" t="n">
        <v>674289.1</v>
      </c>
      <c r="N211" s="2" t="n">
        <v>117773.79</v>
      </c>
      <c r="O211" s="5">
        <f>IF(AND(ISNUMBER(L211),ISNUMBER(J211)),0,1)</f>
        <v/>
      </c>
    </row>
    <row r="212">
      <c r="A212" s="6" t="inlineStr">
        <is>
          <t>STR-1055</t>
        </is>
      </c>
      <c r="B212" s="7" t="n">
        <v>45689</v>
      </c>
      <c r="C212" s="6" t="inlineStr">
        <is>
          <t>North</t>
        </is>
      </c>
      <c r="D212" s="6" t="inlineStr">
        <is>
          <t>Airport</t>
        </is>
      </c>
      <c r="E212" s="6" t="n">
        <v>33987.33</v>
      </c>
      <c r="F212" s="6" t="n">
        <v>5014</v>
      </c>
      <c r="G212" s="6" t="n">
        <v>0.246</v>
      </c>
      <c r="H212" s="6" t="n">
        <v>17</v>
      </c>
      <c r="I212" s="6" t="n">
        <v>94.3</v>
      </c>
      <c r="J212" s="6" t="n">
        <v>10.34</v>
      </c>
      <c r="K212" s="6" t="n">
        <v>0</v>
      </c>
      <c r="L212" s="6" t="n">
        <v>3.9</v>
      </c>
      <c r="M212" s="6" t="n">
        <v>622892.42</v>
      </c>
      <c r="N212" s="6" t="n">
        <v>101032.52</v>
      </c>
      <c r="O212" s="8">
        <f>IF(AND(ISNUMBER(L212),ISNUMBER(J212)),0,1)</f>
        <v/>
      </c>
    </row>
    <row r="213">
      <c r="A213" s="2" t="inlineStr">
        <is>
          <t>STR-1055</t>
        </is>
      </c>
      <c r="B213" s="3" t="n">
        <v>45717</v>
      </c>
      <c r="C213" s="2" t="inlineStr">
        <is>
          <t>North</t>
        </is>
      </c>
      <c r="D213" s="2" t="inlineStr">
        <is>
          <t>Airport</t>
        </is>
      </c>
      <c r="E213" s="2" t="n">
        <v>58785.33</v>
      </c>
      <c r="F213" s="2" t="n">
        <v>4467</v>
      </c>
      <c r="G213" s="2" t="n">
        <v>0.229</v>
      </c>
      <c r="H213" s="2" t="n">
        <v>14</v>
      </c>
      <c r="I213" s="2" t="n">
        <v>90.7</v>
      </c>
      <c r="J213" s="2" t="n">
        <v>1.92</v>
      </c>
      <c r="K213" s="2" t="n">
        <v>0</v>
      </c>
      <c r="L213" s="2" t="n">
        <v>3.7</v>
      </c>
      <c r="M213" s="2" t="n">
        <v>673348.5600000001</v>
      </c>
      <c r="N213" s="2" t="n">
        <v>69464.59</v>
      </c>
      <c r="O213" s="5">
        <f>IF(AND(ISNUMBER(L213),ISNUMBER(J213)),0,1)</f>
        <v/>
      </c>
    </row>
    <row r="214">
      <c r="A214" s="6" t="inlineStr">
        <is>
          <t>STR-1055</t>
        </is>
      </c>
      <c r="B214" s="7" t="n">
        <v>45748</v>
      </c>
      <c r="C214" s="6" t="inlineStr">
        <is>
          <t>North</t>
        </is>
      </c>
      <c r="D214" s="6" t="inlineStr">
        <is>
          <t>Airport</t>
        </is>
      </c>
      <c r="E214" s="6" t="n">
        <v>16451.85</v>
      </c>
      <c r="F214" s="6" t="n">
        <v>4678</v>
      </c>
      <c r="G214" s="6" t="n">
        <v>0.133</v>
      </c>
      <c r="H214" s="6" t="n">
        <v>11</v>
      </c>
      <c r="I214" s="6" t="n">
        <v>95.90000000000001</v>
      </c>
      <c r="J214" s="6" t="n">
        <v>3.1</v>
      </c>
      <c r="K214" s="6" t="n">
        <v>0</v>
      </c>
      <c r="L214" s="6" t="n">
        <v>3.9</v>
      </c>
      <c r="M214" s="6" t="n">
        <v>606278.3</v>
      </c>
      <c r="N214" s="6" t="n">
        <v>102213.26</v>
      </c>
      <c r="O214" s="8">
        <f>IF(AND(ISNUMBER(L214),ISNUMBER(J214)),0,1)</f>
        <v/>
      </c>
    </row>
    <row r="215">
      <c r="A215" s="2" t="inlineStr">
        <is>
          <t>STR-1056</t>
        </is>
      </c>
      <c r="B215" s="3" t="n">
        <v>45658</v>
      </c>
      <c r="C215" s="2" t="inlineStr">
        <is>
          <t>East</t>
        </is>
      </c>
      <c r="D215" s="2" t="inlineStr">
        <is>
          <t>High Street</t>
        </is>
      </c>
      <c r="E215" s="2" t="n">
        <v>53367.73</v>
      </c>
      <c r="F215" s="2" t="n">
        <v>7291</v>
      </c>
      <c r="G215" s="2" t="n">
        <v>0.146</v>
      </c>
      <c r="H215" s="2" t="n">
        <v>18</v>
      </c>
      <c r="I215" s="2" t="n">
        <v>90.59999999999999</v>
      </c>
      <c r="J215" s="2" t="n">
        <v>6.34</v>
      </c>
      <c r="K215" s="2" t="n">
        <v>1</v>
      </c>
      <c r="L215" s="2" t="n">
        <v>3.8</v>
      </c>
      <c r="M215" s="2" t="n">
        <v>712219.8100000001</v>
      </c>
      <c r="N215" s="2" t="n">
        <v>85906.53999999999</v>
      </c>
      <c r="O215" s="5">
        <f>IF(AND(ISNUMBER(L215),ISNUMBER(J215)),0,1)</f>
        <v/>
      </c>
    </row>
    <row r="216">
      <c r="A216" s="6" t="inlineStr">
        <is>
          <t>STR-1056</t>
        </is>
      </c>
      <c r="B216" s="7" t="n">
        <v>45689</v>
      </c>
      <c r="C216" s="6" t="inlineStr">
        <is>
          <t>East</t>
        </is>
      </c>
      <c r="D216" s="6" t="inlineStr">
        <is>
          <t>High Street</t>
        </is>
      </c>
      <c r="E216" s="6" t="n">
        <v>27194.64</v>
      </c>
      <c r="F216" s="6" t="n">
        <v>7404</v>
      </c>
      <c r="G216" s="6" t="n">
        <v>0.08799999999999999</v>
      </c>
      <c r="H216" s="6" t="n">
        <v>18</v>
      </c>
      <c r="I216" s="6" t="n">
        <v>90.2</v>
      </c>
      <c r="J216" s="6" t="n">
        <v>1.2</v>
      </c>
      <c r="K216" s="6" t="n">
        <v>0</v>
      </c>
      <c r="L216" s="6" t="n">
        <v>3.4</v>
      </c>
      <c r="M216" s="6" t="n">
        <v>672670.54</v>
      </c>
      <c r="N216" s="6" t="n">
        <v>132684.18</v>
      </c>
      <c r="O216" s="8">
        <f>IF(AND(ISNUMBER(L216),ISNUMBER(J216)),0,1)</f>
        <v/>
      </c>
    </row>
    <row r="217">
      <c r="A217" s="2" t="inlineStr">
        <is>
          <t>STR-1056</t>
        </is>
      </c>
      <c r="B217" s="3" t="n">
        <v>45717</v>
      </c>
      <c r="C217" s="2" t="inlineStr">
        <is>
          <t>East</t>
        </is>
      </c>
      <c r="D217" s="2" t="inlineStr">
        <is>
          <t>High Street</t>
        </is>
      </c>
      <c r="E217" s="2" t="n">
        <v>66962.74000000001</v>
      </c>
      <c r="F217" s="2" t="n">
        <v>7880</v>
      </c>
      <c r="G217" s="2" t="n">
        <v>0.116</v>
      </c>
      <c r="H217" s="2" t="n">
        <v>19</v>
      </c>
      <c r="I217" s="2" t="n">
        <v>90.40000000000001</v>
      </c>
      <c r="J217" s="2" t="n">
        <v>4.5</v>
      </c>
      <c r="K217" s="2" t="n">
        <v>0</v>
      </c>
      <c r="L217" s="2" t="n">
        <v>3.3</v>
      </c>
      <c r="M217" s="2" t="n">
        <v>732667.92</v>
      </c>
      <c r="N217" s="2" t="n">
        <v>128654.46</v>
      </c>
      <c r="O217" s="5">
        <f>IF(AND(ISNUMBER(L217),ISNUMBER(J217)),0,1)</f>
        <v/>
      </c>
    </row>
    <row r="218">
      <c r="A218" s="6" t="inlineStr">
        <is>
          <t>STR-1056</t>
        </is>
      </c>
      <c r="B218" s="7" t="n">
        <v>45748</v>
      </c>
      <c r="C218" s="6" t="inlineStr">
        <is>
          <t>East</t>
        </is>
      </c>
      <c r="D218" s="6" t="inlineStr">
        <is>
          <t>High Street</t>
        </is>
      </c>
      <c r="E218" s="6" t="n">
        <v>73540.99000000001</v>
      </c>
      <c r="F218" s="6" t="n">
        <v>8773</v>
      </c>
      <c r="G218" s="6" t="n">
        <v>0.035</v>
      </c>
      <c r="H218" s="6" t="n">
        <v>21</v>
      </c>
      <c r="I218" s="6" t="n">
        <v>84.40000000000001</v>
      </c>
      <c r="J218" s="6" t="n">
        <v>6.68</v>
      </c>
      <c r="K218" s="6" t="n">
        <v>0</v>
      </c>
      <c r="L218" s="6" t="n">
        <v>3.6</v>
      </c>
      <c r="M218" s="6" t="n">
        <v>723531.4</v>
      </c>
      <c r="N218" s="6" t="n">
        <v>108794.85</v>
      </c>
      <c r="O218" s="8">
        <f>IF(AND(ISNUMBER(L218),ISNUMBER(J218)),0,1)</f>
        <v/>
      </c>
    </row>
    <row r="219">
      <c r="A219" s="2" t="inlineStr">
        <is>
          <t>STR-1057</t>
        </is>
      </c>
      <c r="B219" s="3" t="n">
        <v>45658</v>
      </c>
      <c r="C219" s="2" t="inlineStr">
        <is>
          <t>East</t>
        </is>
      </c>
      <c r="D219" s="2" t="inlineStr">
        <is>
          <t>Mall</t>
        </is>
      </c>
      <c r="E219" s="2" t="n">
        <v>68212.28999999999</v>
      </c>
      <c r="F219" s="2" t="n">
        <v>4713</v>
      </c>
      <c r="G219" s="2" t="n">
        <v>0.198</v>
      </c>
      <c r="H219" s="2" t="n">
        <v>15</v>
      </c>
      <c r="I219" s="2" t="n">
        <v>82.59999999999999</v>
      </c>
      <c r="J219" s="2" t="n">
        <v>4.07</v>
      </c>
      <c r="K219" s="2" t="n">
        <v>1</v>
      </c>
      <c r="L219" s="2" t="n">
        <v>3</v>
      </c>
      <c r="M219" s="2" t="n">
        <v>641564.6</v>
      </c>
      <c r="N219" s="2" t="n">
        <v>90468.96000000001</v>
      </c>
      <c r="O219" s="5">
        <f>IF(AND(ISNUMBER(L219),ISNUMBER(J219)),0,1)</f>
        <v/>
      </c>
    </row>
    <row r="220">
      <c r="A220" s="6" t="inlineStr">
        <is>
          <t>STR-1057</t>
        </is>
      </c>
      <c r="B220" s="7" t="n">
        <v>45689</v>
      </c>
      <c r="C220" s="6" t="inlineStr">
        <is>
          <t>East</t>
        </is>
      </c>
      <c r="D220" s="6" t="inlineStr">
        <is>
          <t>Mall</t>
        </is>
      </c>
      <c r="E220" s="6" t="n">
        <v>57225.98</v>
      </c>
      <c r="F220" s="6" t="n">
        <v>2842</v>
      </c>
      <c r="G220" s="6" t="n">
        <v>0.112</v>
      </c>
      <c r="H220" s="6" t="n">
        <v>10</v>
      </c>
      <c r="I220" s="6" t="n">
        <v>79.5</v>
      </c>
      <c r="J220" s="6" t="n">
        <v>5.45</v>
      </c>
      <c r="K220" s="6" t="n">
        <v>0</v>
      </c>
      <c r="L220" s="6" t="n">
        <v>3.4</v>
      </c>
      <c r="M220" s="6" t="n">
        <v>536545.49</v>
      </c>
      <c r="N220" s="6" t="n">
        <v>97917.45</v>
      </c>
      <c r="O220" s="8">
        <f>IF(AND(ISNUMBER(L220),ISNUMBER(J220)),0,1)</f>
        <v/>
      </c>
    </row>
    <row r="221">
      <c r="A221" s="2" t="inlineStr">
        <is>
          <t>STR-1057</t>
        </is>
      </c>
      <c r="B221" s="3" t="n">
        <v>45717</v>
      </c>
      <c r="C221" s="2" t="inlineStr">
        <is>
          <t>East</t>
        </is>
      </c>
      <c r="D221" s="2" t="inlineStr">
        <is>
          <t>Mall</t>
        </is>
      </c>
      <c r="E221" s="2" t="n">
        <v>42932.02</v>
      </c>
      <c r="F221" s="2" t="n">
        <v>3872</v>
      </c>
      <c r="G221" s="2" t="n">
        <v>0.171</v>
      </c>
      <c r="H221" s="2" t="n">
        <v>12</v>
      </c>
      <c r="I221" s="2" t="n">
        <v>83.2</v>
      </c>
      <c r="J221" s="2" t="n">
        <v>15.58</v>
      </c>
      <c r="K221" s="2" t="n">
        <v>0</v>
      </c>
      <c r="L221" s="2" t="n">
        <v>3.3</v>
      </c>
      <c r="M221" s="2" t="n">
        <v>527681.5600000001</v>
      </c>
      <c r="N221" s="2" t="n">
        <v>63153.05</v>
      </c>
      <c r="O221" s="5">
        <f>IF(AND(ISNUMBER(L221),ISNUMBER(J221)),0,1)</f>
        <v/>
      </c>
    </row>
    <row r="222">
      <c r="A222" s="6" t="inlineStr">
        <is>
          <t>STR-1058</t>
        </is>
      </c>
      <c r="B222" s="7" t="n">
        <v>45658</v>
      </c>
      <c r="C222" s="6" t="inlineStr">
        <is>
          <t>East</t>
        </is>
      </c>
      <c r="D222" s="6" t="inlineStr">
        <is>
          <t>High Street</t>
        </is>
      </c>
      <c r="E222" s="6" t="n">
        <v>37324.23</v>
      </c>
      <c r="F222" s="6" t="n">
        <v>5957</v>
      </c>
      <c r="G222" s="6" t="n">
        <v>0.07099999999999999</v>
      </c>
      <c r="H222" s="6" t="n">
        <v>12</v>
      </c>
      <c r="I222" s="6" t="n">
        <v>85.90000000000001</v>
      </c>
      <c r="J222" s="6" t="n">
        <v>0.37</v>
      </c>
      <c r="K222" s="6" t="n">
        <v>0</v>
      </c>
      <c r="L222" s="6" t="n">
        <v>3.8</v>
      </c>
      <c r="M222" s="6" t="n">
        <v>570963.3100000001</v>
      </c>
      <c r="N222" s="6" t="n">
        <v>87342.25</v>
      </c>
      <c r="O222" s="8">
        <f>IF(AND(ISNUMBER(L222),ISNUMBER(J222)),0,1)</f>
        <v/>
      </c>
    </row>
    <row r="223">
      <c r="A223" s="2" t="inlineStr">
        <is>
          <t>STR-1058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2" t="n">
        <v>113736</v>
      </c>
      <c r="F223" s="2" t="n">
        <v>8961</v>
      </c>
      <c r="G223" s="2" t="n">
        <v>0.202</v>
      </c>
      <c r="H223" s="2" t="n">
        <v>24</v>
      </c>
      <c r="I223" s="2" t="n">
        <v>86.2</v>
      </c>
      <c r="J223" s="2" t="n">
        <v>21.63</v>
      </c>
      <c r="K223" s="2" t="n">
        <v>0</v>
      </c>
      <c r="L223" s="2" t="n">
        <v>4</v>
      </c>
      <c r="M223" s="2" t="n">
        <v>870937.4</v>
      </c>
      <c r="N223" s="2" t="n">
        <v>175282.74</v>
      </c>
      <c r="O223" s="5">
        <f>IF(AND(ISNUMBER(L223),ISNUMBER(J223)),0,1)</f>
        <v/>
      </c>
    </row>
    <row r="224">
      <c r="A224" s="6" t="inlineStr">
        <is>
          <t>STR-1058</t>
        </is>
      </c>
      <c r="B224" s="7" t="n">
        <v>45717</v>
      </c>
      <c r="C224" s="6" t="inlineStr">
        <is>
          <t>East</t>
        </is>
      </c>
      <c r="D224" s="6" t="inlineStr">
        <is>
          <t>High Street</t>
        </is>
      </c>
      <c r="E224" s="6" t="n">
        <v>33173.95</v>
      </c>
      <c r="F224" s="6" t="n">
        <v>6545</v>
      </c>
      <c r="G224" s="6" t="n">
        <v>0.169</v>
      </c>
      <c r="H224" s="6" t="n">
        <v>15</v>
      </c>
      <c r="I224" s="6" t="n">
        <v>84.40000000000001</v>
      </c>
      <c r="J224" s="6" t="n">
        <v>2.48</v>
      </c>
      <c r="K224" s="6" t="n">
        <v>0</v>
      </c>
      <c r="L224" s="6" t="n">
        <v>3.9</v>
      </c>
      <c r="M224" s="6" t="n">
        <v>596969.27</v>
      </c>
      <c r="N224" s="6" t="n">
        <v>105669.51</v>
      </c>
      <c r="O224" s="8">
        <f>IF(AND(ISNUMBER(L224),ISNUMBER(J224)),0,1)</f>
        <v/>
      </c>
    </row>
    <row r="225">
      <c r="A225" s="2" t="inlineStr">
        <is>
          <t>STR-1059</t>
        </is>
      </c>
      <c r="B225" s="3" t="n">
        <v>45658</v>
      </c>
      <c r="C225" s="2" t="inlineStr">
        <is>
          <t>West</t>
        </is>
      </c>
      <c r="D225" s="2" t="inlineStr">
        <is>
          <t>Residential</t>
        </is>
      </c>
      <c r="E225" s="2" t="n">
        <v>47241.92</v>
      </c>
      <c r="F225" s="2" t="n">
        <v>4264</v>
      </c>
      <c r="G225" s="2" t="n">
        <v>0.06900000000000001</v>
      </c>
      <c r="H225" s="2" t="n">
        <v>13</v>
      </c>
      <c r="I225" s="2" t="n">
        <v>95.3</v>
      </c>
      <c r="J225" s="2" t="n">
        <v>0.85</v>
      </c>
      <c r="K225" s="2" t="n">
        <v>0</v>
      </c>
      <c r="L225" s="2" t="n">
        <v>4.3</v>
      </c>
      <c r="M225" s="2" t="n">
        <v>658072.14</v>
      </c>
      <c r="N225" s="2" t="n">
        <v>110595.89</v>
      </c>
      <c r="O225" s="5">
        <f>IF(AND(ISNUMBER(L225),ISNUMBER(J225)),0,1)</f>
        <v/>
      </c>
    </row>
    <row r="226">
      <c r="A226" s="6" t="inlineStr">
        <is>
          <t>STR-1059</t>
        </is>
      </c>
      <c r="B226" s="7" t="n">
        <v>45689</v>
      </c>
      <c r="C226" s="6" t="inlineStr">
        <is>
          <t>West</t>
        </is>
      </c>
      <c r="D226" s="6" t="inlineStr">
        <is>
          <t>Residential</t>
        </is>
      </c>
      <c r="E226" s="6" t="n">
        <v>61650.79</v>
      </c>
      <c r="F226" s="6" t="n">
        <v>5321</v>
      </c>
      <c r="G226" s="6" t="n">
        <v>0.126</v>
      </c>
      <c r="H226" s="6" t="n">
        <v>17</v>
      </c>
      <c r="I226" s="6" t="n">
        <v>89.2</v>
      </c>
      <c r="J226" s="6" t="n">
        <v>2.13</v>
      </c>
      <c r="K226" s="6" t="n">
        <v>0</v>
      </c>
      <c r="L226" s="6" t="n">
        <v>4</v>
      </c>
      <c r="M226" s="6" t="n">
        <v>723305.11</v>
      </c>
      <c r="N226" s="6" t="n">
        <v>128468.7</v>
      </c>
      <c r="O226" s="8">
        <f>IF(AND(ISNUMBER(L226),ISNUMBER(J226)),0,1)</f>
        <v/>
      </c>
    </row>
    <row r="227">
      <c r="A227" s="2" t="inlineStr">
        <is>
          <t>STR-1059</t>
        </is>
      </c>
      <c r="B227" s="3" t="n">
        <v>45717</v>
      </c>
      <c r="C227" s="2" t="inlineStr">
        <is>
          <t>West</t>
        </is>
      </c>
      <c r="D227" s="2" t="inlineStr">
        <is>
          <t>Residential</t>
        </is>
      </c>
      <c r="E227" s="2" t="n">
        <v>62582.71</v>
      </c>
      <c r="F227" s="2" t="n">
        <v>5479</v>
      </c>
      <c r="G227" s="2" t="n">
        <v>0.048</v>
      </c>
      <c r="H227" s="2" t="n">
        <v>16</v>
      </c>
      <c r="I227" s="2" t="n">
        <v>81.2</v>
      </c>
      <c r="J227" s="2" t="n">
        <v>1.46</v>
      </c>
      <c r="K227" s="2" t="n">
        <v>0</v>
      </c>
      <c r="L227" s="2" t="n">
        <v>4.5</v>
      </c>
      <c r="M227" s="2" t="n">
        <v>640666.53</v>
      </c>
      <c r="N227" s="2" t="n">
        <v>134919.16</v>
      </c>
      <c r="O227" s="5">
        <f>IF(AND(ISNUMBER(L227),ISNUMBER(J227)),0,1)</f>
        <v/>
      </c>
    </row>
    <row r="228">
      <c r="A228" s="6" t="inlineStr">
        <is>
          <t>STR-1059</t>
        </is>
      </c>
      <c r="B228" s="7" t="n">
        <v>45748</v>
      </c>
      <c r="C228" s="6" t="inlineStr">
        <is>
          <t>West</t>
        </is>
      </c>
      <c r="D228" s="6" t="inlineStr">
        <is>
          <t>Residential</t>
        </is>
      </c>
      <c r="E228" s="6" t="n">
        <v>47944.14</v>
      </c>
      <c r="F228" s="6" t="n">
        <v>6169</v>
      </c>
      <c r="G228" s="6" t="n">
        <v>0.119</v>
      </c>
      <c r="H228" s="6" t="n">
        <v>17</v>
      </c>
      <c r="I228" s="6" t="n">
        <v>92.2</v>
      </c>
      <c r="J228" s="6" t="n">
        <v>3.02</v>
      </c>
      <c r="K228" s="6" t="n">
        <v>0</v>
      </c>
      <c r="L228" s="6" t="n">
        <v>4.1</v>
      </c>
      <c r="M228" s="6" t="n">
        <v>670629.48</v>
      </c>
      <c r="N228" s="6" t="n">
        <v>100140.8</v>
      </c>
      <c r="O228" s="8">
        <f>IF(AND(ISNUMBER(L228),ISNUMBER(J228)),0,1)</f>
        <v/>
      </c>
    </row>
    <row r="229">
      <c r="A229" s="2" t="inlineStr">
        <is>
          <t>STR-1060</t>
        </is>
      </c>
      <c r="B229" s="3" t="n">
        <v>45658</v>
      </c>
      <c r="C229" s="2" t="inlineStr">
        <is>
          <t>West</t>
        </is>
      </c>
      <c r="D229" s="2" t="inlineStr">
        <is>
          <t>Mall</t>
        </is>
      </c>
      <c r="E229" s="2" t="n">
        <v>46495.4</v>
      </c>
      <c r="F229" s="2" t="n">
        <v>9908</v>
      </c>
      <c r="G229" s="2" t="n">
        <v>0.121</v>
      </c>
      <c r="H229" s="2" t="n">
        <v>22</v>
      </c>
      <c r="I229" s="2" t="n">
        <v>89.40000000000001</v>
      </c>
      <c r="J229" s="2" t="n">
        <v>3.22</v>
      </c>
      <c r="K229" s="2" t="n">
        <v>0</v>
      </c>
      <c r="L229" s="2" t="n">
        <v>3.7</v>
      </c>
      <c r="M229" s="2" t="n">
        <v>721079.35</v>
      </c>
      <c r="N229" s="2" t="n">
        <v>115295.05</v>
      </c>
      <c r="O229" s="5">
        <f>IF(AND(ISNUMBER(L229),ISNUMBER(J229)),0,1)</f>
        <v/>
      </c>
    </row>
    <row r="230">
      <c r="A230" s="6" t="inlineStr">
        <is>
          <t>STR-1060</t>
        </is>
      </c>
      <c r="B230" s="7" t="n">
        <v>45689</v>
      </c>
      <c r="C230" s="6" t="inlineStr">
        <is>
          <t>West</t>
        </is>
      </c>
      <c r="D230" s="6" t="inlineStr">
        <is>
          <t>Mall</t>
        </is>
      </c>
      <c r="E230" s="6" t="n">
        <v>72961.95</v>
      </c>
      <c r="F230" s="6" t="n">
        <v>9996</v>
      </c>
      <c r="G230" s="6" t="n">
        <v>0.106</v>
      </c>
      <c r="H230" s="6" t="n">
        <v>22</v>
      </c>
      <c r="I230" s="6" t="n">
        <v>89.09999999999999</v>
      </c>
      <c r="J230" s="6" t="n">
        <v>15.66</v>
      </c>
      <c r="K230" s="6" t="n">
        <v>0</v>
      </c>
      <c r="L230" s="6" t="n">
        <v>3.4</v>
      </c>
      <c r="M230" s="6" t="n">
        <v>810355.02</v>
      </c>
      <c r="N230" s="6" t="n">
        <v>131510</v>
      </c>
      <c r="O230" s="8">
        <f>IF(AND(ISNUMBER(L230),ISNUMBER(J230)),0,1)</f>
        <v/>
      </c>
    </row>
    <row r="231">
      <c r="A231" s="2" t="inlineStr">
        <is>
          <t>STR-1060</t>
        </is>
      </c>
      <c r="B231" s="3" t="n">
        <v>45717</v>
      </c>
      <c r="C231" s="2" t="inlineStr">
        <is>
          <t>West</t>
        </is>
      </c>
      <c r="D231" s="2" t="inlineStr">
        <is>
          <t>Mall</t>
        </is>
      </c>
      <c r="E231" s="2" t="n">
        <v>59060.05</v>
      </c>
      <c r="F231" s="2" t="n">
        <v>9702</v>
      </c>
      <c r="G231" s="2" t="n">
        <v>0.201</v>
      </c>
      <c r="H231" s="2" t="n">
        <v>23</v>
      </c>
      <c r="I231" s="2" t="n">
        <v>80.90000000000001</v>
      </c>
      <c r="J231" s="2" t="n">
        <v>6.96</v>
      </c>
      <c r="K231" s="2" t="n">
        <v>0</v>
      </c>
      <c r="L231" s="2" t="n">
        <v>3.2</v>
      </c>
      <c r="M231" s="2" t="n">
        <v>761919.25</v>
      </c>
      <c r="N231" s="2" t="n">
        <v>111893.06</v>
      </c>
      <c r="O231" s="5">
        <f>IF(AND(ISNUMBER(L231),ISNUMBER(J231)),0,1)</f>
        <v/>
      </c>
    </row>
    <row r="232">
      <c r="A232" s="6" t="inlineStr">
        <is>
          <t>STR-1060</t>
        </is>
      </c>
      <c r="B232" s="7" t="n">
        <v>45748</v>
      </c>
      <c r="C232" s="6" t="inlineStr">
        <is>
          <t>West</t>
        </is>
      </c>
      <c r="D232" s="6" t="inlineStr">
        <is>
          <t>Mall</t>
        </is>
      </c>
      <c r="E232" s="6" t="n">
        <v>26248.1</v>
      </c>
      <c r="F232" s="6" t="n">
        <v>9314</v>
      </c>
      <c r="G232" s="6" t="n">
        <v>0.186</v>
      </c>
      <c r="H232" s="6" t="n">
        <v>21</v>
      </c>
      <c r="I232" s="6" t="n">
        <v>83.7</v>
      </c>
      <c r="J232" s="6" t="n">
        <v>4.62</v>
      </c>
      <c r="K232" s="6" t="n">
        <v>0</v>
      </c>
      <c r="L232" s="6" t="n">
        <v>3.3</v>
      </c>
      <c r="M232" s="6" t="n">
        <v>737070.1800000001</v>
      </c>
      <c r="N232" s="6" t="n">
        <v>117593.97</v>
      </c>
      <c r="O232" s="8">
        <f>IF(AND(ISNUMBER(L232),ISNUMBER(J232)),0,1)</f>
        <v/>
      </c>
    </row>
    <row r="233">
      <c r="A233" s="2" t="inlineStr">
        <is>
          <t>STR-1061</t>
        </is>
      </c>
      <c r="B233" s="3" t="n">
        <v>45658</v>
      </c>
      <c r="C233" s="2" t="inlineStr">
        <is>
          <t>South</t>
        </is>
      </c>
      <c r="D233" s="2" t="inlineStr">
        <is>
          <t>Airport</t>
        </is>
      </c>
      <c r="E233" s="2" t="n">
        <v>69900.12</v>
      </c>
      <c r="F233" s="2" t="n">
        <v>8055</v>
      </c>
      <c r="G233" s="2" t="n">
        <v>0.281</v>
      </c>
      <c r="H233" s="2" t="n">
        <v>22</v>
      </c>
      <c r="I233" s="2" t="n">
        <v>85.59999999999999</v>
      </c>
      <c r="J233" s="2" t="n">
        <v>10.68</v>
      </c>
      <c r="K233" s="2" t="n">
        <v>1</v>
      </c>
      <c r="L233" s="2" t="n">
        <v>2.9</v>
      </c>
      <c r="M233" s="2" t="n">
        <v>776992.9300000001</v>
      </c>
      <c r="N233" s="2" t="n">
        <v>101598.32</v>
      </c>
      <c r="O233" s="5">
        <f>IF(AND(ISNUMBER(L233),ISNUMBER(J233)),0,1)</f>
        <v/>
      </c>
    </row>
    <row r="234">
      <c r="A234" s="6" t="inlineStr">
        <is>
          <t>STR-1061</t>
        </is>
      </c>
      <c r="B234" s="7" t="n">
        <v>45689</v>
      </c>
      <c r="C234" s="6" t="inlineStr">
        <is>
          <t>South</t>
        </is>
      </c>
      <c r="D234" s="6" t="inlineStr">
        <is>
          <t>Airport</t>
        </is>
      </c>
      <c r="E234" s="6" t="n">
        <v>51781.6</v>
      </c>
      <c r="F234" s="6" t="n">
        <v>5648</v>
      </c>
      <c r="G234" s="6" t="n">
        <v>0.059</v>
      </c>
      <c r="H234" s="6" t="n">
        <v>13</v>
      </c>
      <c r="I234" s="6" t="n">
        <v>85.5</v>
      </c>
      <c r="J234" s="6" t="n">
        <v>4.04</v>
      </c>
      <c r="K234" s="6" t="n">
        <v>0</v>
      </c>
      <c r="L234" s="6" t="n">
        <v>3.7</v>
      </c>
      <c r="M234" s="6" t="n">
        <v>676337.41</v>
      </c>
      <c r="N234" s="6" t="n">
        <v>104355.77</v>
      </c>
      <c r="O234" s="8">
        <f>IF(AND(ISNUMBER(L234),ISNUMBER(J234)),0,1)</f>
        <v/>
      </c>
    </row>
    <row r="235">
      <c r="A235" s="2" t="inlineStr">
        <is>
          <t>STR-1061</t>
        </is>
      </c>
      <c r="B235" s="3" t="n">
        <v>45717</v>
      </c>
      <c r="C235" s="2" t="inlineStr">
        <is>
          <t>South</t>
        </is>
      </c>
      <c r="D235" s="2" t="inlineStr">
        <is>
          <t>Airport</t>
        </is>
      </c>
      <c r="E235" s="2" t="n">
        <v>70799.64</v>
      </c>
      <c r="F235" s="2" t="n">
        <v>10076</v>
      </c>
      <c r="G235" s="2" t="n">
        <v>0.152</v>
      </c>
      <c r="H235" s="2" t="n">
        <v>24</v>
      </c>
      <c r="I235" s="2" t="n">
        <v>84.8</v>
      </c>
      <c r="J235" s="2" t="n">
        <v>1.87</v>
      </c>
      <c r="K235" s="2" t="n">
        <v>0</v>
      </c>
      <c r="L235" s="2" t="n">
        <v>3.5</v>
      </c>
      <c r="M235" s="2" t="n">
        <v>828219.67</v>
      </c>
      <c r="N235" s="2" t="n">
        <v>179806.87</v>
      </c>
      <c r="O235" s="5">
        <f>IF(AND(ISNUMBER(L235),ISNUMBER(J235)),0,1)</f>
        <v/>
      </c>
    </row>
    <row r="236">
      <c r="A236" s="6" t="inlineStr">
        <is>
          <t>STR-1061</t>
        </is>
      </c>
      <c r="B236" s="7" t="n">
        <v>45748</v>
      </c>
      <c r="C236" s="6" t="inlineStr">
        <is>
          <t>South</t>
        </is>
      </c>
      <c r="D236" s="6" t="inlineStr">
        <is>
          <t>Airport</t>
        </is>
      </c>
      <c r="E236" s="6" t="n">
        <v>53546.34</v>
      </c>
      <c r="F236" s="6" t="n">
        <v>8004</v>
      </c>
      <c r="G236" s="6" t="n">
        <v>0</v>
      </c>
      <c r="H236" s="6" t="n">
        <v>21</v>
      </c>
      <c r="I236" s="6" t="n">
        <v>95.2</v>
      </c>
      <c r="J236" s="6" t="n">
        <v>2.83</v>
      </c>
      <c r="K236" s="6" t="n">
        <v>0</v>
      </c>
      <c r="L236" s="6" t="n">
        <v>3</v>
      </c>
      <c r="M236" s="6" t="n">
        <v>763159.92</v>
      </c>
      <c r="N236" s="6" t="n">
        <v>177104.87</v>
      </c>
      <c r="O236" s="8">
        <f>IF(AND(ISNUMBER(L236),ISNUMBER(J236)),0,1)</f>
        <v/>
      </c>
    </row>
    <row r="237">
      <c r="A237" s="2" t="inlineStr">
        <is>
          <t>STR-1062</t>
        </is>
      </c>
      <c r="B237" s="3" t="n">
        <v>45658</v>
      </c>
      <c r="C237" s="2" t="inlineStr">
        <is>
          <t>East</t>
        </is>
      </c>
      <c r="D237" s="2" t="inlineStr">
        <is>
          <t>High Street</t>
        </is>
      </c>
      <c r="E237" s="2" t="n">
        <v>76942.2</v>
      </c>
      <c r="F237" s="2" t="n">
        <v>8934</v>
      </c>
      <c r="G237" s="2" t="n">
        <v>0.08400000000000001</v>
      </c>
      <c r="H237" s="2" t="n">
        <v>20</v>
      </c>
      <c r="I237" s="2" t="n">
        <v>91</v>
      </c>
      <c r="J237" s="2" t="n">
        <v>0.95</v>
      </c>
      <c r="K237" s="2" t="n">
        <v>0</v>
      </c>
      <c r="L237" s="2" t="n">
        <v>3.2</v>
      </c>
      <c r="M237" s="2" t="n">
        <v>802001.6800000001</v>
      </c>
      <c r="N237" s="2" t="n">
        <v>159715.82</v>
      </c>
      <c r="O237" s="5">
        <f>IF(AND(ISNUMBER(L237),ISNUMBER(J237)),0,1)</f>
        <v/>
      </c>
    </row>
    <row r="238">
      <c r="A238" s="6" t="inlineStr">
        <is>
          <t>STR-1062</t>
        </is>
      </c>
      <c r="B238" s="7" t="n">
        <v>45689</v>
      </c>
      <c r="C238" s="6" t="inlineStr">
        <is>
          <t>East</t>
        </is>
      </c>
      <c r="D238" s="6" t="inlineStr">
        <is>
          <t>High Street</t>
        </is>
      </c>
      <c r="E238" s="6" t="n">
        <v>48060.78</v>
      </c>
      <c r="F238" s="6" t="n">
        <v>8733</v>
      </c>
      <c r="G238" s="6" t="n">
        <v>0</v>
      </c>
      <c r="H238" s="6" t="n">
        <v>20</v>
      </c>
      <c r="I238" s="6" t="n">
        <v>89.90000000000001</v>
      </c>
      <c r="J238" s="6" t="n">
        <v>0.8</v>
      </c>
      <c r="K238" s="6" t="n">
        <v>0</v>
      </c>
      <c r="L238" s="6" t="n">
        <v>3.4</v>
      </c>
      <c r="M238" s="6" t="n">
        <v>750471.34</v>
      </c>
      <c r="N238" s="6" t="n">
        <v>133788.04</v>
      </c>
      <c r="O238" s="8">
        <f>IF(AND(ISNUMBER(L238),ISNUMBER(J238)),0,1)</f>
        <v/>
      </c>
    </row>
    <row r="239">
      <c r="A239" s="2" t="inlineStr">
        <is>
          <t>STR-1062</t>
        </is>
      </c>
      <c r="B239" s="3" t="n">
        <v>45717</v>
      </c>
      <c r="C239" s="2" t="inlineStr">
        <is>
          <t>East</t>
        </is>
      </c>
      <c r="D239" s="2" t="inlineStr">
        <is>
          <t>High Street</t>
        </is>
      </c>
      <c r="E239" s="2" t="n">
        <v>57390.04</v>
      </c>
      <c r="F239" s="2" t="n">
        <v>7374</v>
      </c>
      <c r="G239" s="2" t="n">
        <v>0.21</v>
      </c>
      <c r="H239" s="2" t="n">
        <v>21</v>
      </c>
      <c r="I239" s="2" t="n">
        <v>91.8</v>
      </c>
      <c r="J239" s="2" t="n">
        <v>0.2</v>
      </c>
      <c r="K239" s="2" t="n">
        <v>0</v>
      </c>
      <c r="L239" s="2" t="n">
        <v>3.1</v>
      </c>
      <c r="M239" s="2" t="n">
        <v>679230.86</v>
      </c>
      <c r="N239" s="2" t="n">
        <v>106927.58</v>
      </c>
      <c r="O239" s="5">
        <f>IF(AND(ISNUMBER(L239),ISNUMBER(J239)),0,1)</f>
        <v/>
      </c>
    </row>
    <row r="240">
      <c r="A240" s="6" t="inlineStr">
        <is>
          <t>STR-1062</t>
        </is>
      </c>
      <c r="B240" s="7" t="n">
        <v>45748</v>
      </c>
      <c r="C240" s="6" t="inlineStr">
        <is>
          <t>East</t>
        </is>
      </c>
      <c r="D240" s="6" t="inlineStr">
        <is>
          <t>High Street</t>
        </is>
      </c>
      <c r="E240" s="6" t="n">
        <v>21536.18</v>
      </c>
      <c r="F240" s="6" t="n">
        <v>8119</v>
      </c>
      <c r="G240" s="6" t="n">
        <v>0.227</v>
      </c>
      <c r="H240" s="6" t="n">
        <v>20</v>
      </c>
      <c r="I240" s="6" t="n">
        <v>90.40000000000001</v>
      </c>
      <c r="J240" s="6" t="n">
        <v>1.7</v>
      </c>
      <c r="K240" s="6" t="n">
        <v>0</v>
      </c>
      <c r="L240" s="6" t="n">
        <v>3.3</v>
      </c>
      <c r="M240" s="6" t="n">
        <v>679888.74</v>
      </c>
      <c r="N240" s="6" t="n">
        <v>83406.89</v>
      </c>
      <c r="O240" s="8">
        <f>IF(AND(ISNUMBER(L240),ISNUMBER(J240)),0,1)</f>
        <v/>
      </c>
    </row>
    <row r="241">
      <c r="A241" s="2" t="inlineStr">
        <is>
          <t>STR-1063</t>
        </is>
      </c>
      <c r="B241" s="3" t="n">
        <v>45689</v>
      </c>
      <c r="C241" s="2" t="inlineStr">
        <is>
          <t>North</t>
        </is>
      </c>
      <c r="D241" s="2" t="inlineStr">
        <is>
          <t>High Street</t>
        </is>
      </c>
      <c r="E241" s="2" t="n">
        <v>72932.55</v>
      </c>
      <c r="F241" s="2" t="n">
        <v>5765</v>
      </c>
      <c r="G241" s="2" t="n">
        <v>0.026</v>
      </c>
      <c r="H241" s="2" t="n">
        <v>17</v>
      </c>
      <c r="I241" s="2" t="n">
        <v>81.8</v>
      </c>
      <c r="J241" s="2" t="n">
        <v>5.1</v>
      </c>
      <c r="K241" s="2" t="n">
        <v>0</v>
      </c>
      <c r="L241" s="2" t="n">
        <v>3.6</v>
      </c>
      <c r="M241" s="2" t="n">
        <v>642751.42</v>
      </c>
      <c r="N241" s="2" t="n">
        <v>131942.15</v>
      </c>
      <c r="O241" s="5">
        <f>IF(AND(ISNUMBER(L241),ISNUMBER(J241)),0,1)</f>
        <v/>
      </c>
    </row>
    <row r="242">
      <c r="A242" s="6" t="inlineStr">
        <is>
          <t>STR-1063</t>
        </is>
      </c>
      <c r="B242" s="7" t="n">
        <v>45717</v>
      </c>
      <c r="C242" s="6" t="inlineStr">
        <is>
          <t>North</t>
        </is>
      </c>
      <c r="D242" s="6" t="inlineStr">
        <is>
          <t>High Street</t>
        </is>
      </c>
      <c r="E242" s="6" t="n">
        <v>38361.93</v>
      </c>
      <c r="F242" s="6" t="n">
        <v>6322</v>
      </c>
      <c r="G242" s="6" t="n">
        <v>0.273</v>
      </c>
      <c r="H242" s="6" t="n">
        <v>15</v>
      </c>
      <c r="I242" s="6" t="n">
        <v>88.40000000000001</v>
      </c>
      <c r="J242" s="6" t="n">
        <v>0.83</v>
      </c>
      <c r="K242" s="6" t="n">
        <v>0</v>
      </c>
      <c r="L242" s="6" t="n">
        <v>4</v>
      </c>
      <c r="M242" s="6" t="n">
        <v>647953.78</v>
      </c>
      <c r="N242" s="6" t="n">
        <v>118497.43</v>
      </c>
      <c r="O242" s="8">
        <f>IF(AND(ISNUMBER(L242),ISNUMBER(J242)),0,1)</f>
        <v/>
      </c>
    </row>
    <row r="243">
      <c r="A243" s="2" t="inlineStr">
        <is>
          <t>STR-1063</t>
        </is>
      </c>
      <c r="B243" s="3" t="n">
        <v>45748</v>
      </c>
      <c r="C243" s="2" t="inlineStr">
        <is>
          <t>North</t>
        </is>
      </c>
      <c r="D243" s="2" t="inlineStr">
        <is>
          <t>High Street</t>
        </is>
      </c>
      <c r="E243" s="2" t="n">
        <v>97480.94</v>
      </c>
      <c r="F243" s="2" t="n">
        <v>6840</v>
      </c>
      <c r="G243" s="2" t="n">
        <v>0.08699999999999999</v>
      </c>
      <c r="H243" s="2" t="n">
        <v>14</v>
      </c>
      <c r="I243" s="2" t="n">
        <v>79.2</v>
      </c>
      <c r="J243" s="2" t="n">
        <v>1.14</v>
      </c>
      <c r="K243" s="2" t="n">
        <v>0</v>
      </c>
      <c r="L243" s="2" t="n">
        <v>4</v>
      </c>
      <c r="M243" s="2" t="n">
        <v>729440.45</v>
      </c>
      <c r="N243" s="2" t="n">
        <v>87614.28999999999</v>
      </c>
      <c r="O243" s="5">
        <f>IF(AND(ISNUMBER(L243),ISNUMBER(J243)),0,1)</f>
        <v/>
      </c>
    </row>
    <row r="244">
      <c r="A244" s="6" t="inlineStr">
        <is>
          <t>STR-1064</t>
        </is>
      </c>
      <c r="B244" s="7" t="n">
        <v>45658</v>
      </c>
      <c r="C244" s="6" t="inlineStr">
        <is>
          <t>South</t>
        </is>
      </c>
      <c r="D244" s="6" t="inlineStr">
        <is>
          <t>Airport</t>
        </is>
      </c>
      <c r="E244" s="6" t="n">
        <v>81801.8</v>
      </c>
      <c r="F244" s="6" t="n">
        <v>6782</v>
      </c>
      <c r="G244" s="6" t="n">
        <v>0.05</v>
      </c>
      <c r="H244" s="6" t="n">
        <v>16</v>
      </c>
      <c r="I244" s="6" t="n">
        <v>99</v>
      </c>
      <c r="J244" s="6" t="n">
        <v>9.539999999999999</v>
      </c>
      <c r="K244" s="6" t="n">
        <v>0</v>
      </c>
      <c r="L244" s="6" t="n">
        <v>3.7</v>
      </c>
      <c r="M244" s="6" t="n">
        <v>764949</v>
      </c>
      <c r="N244" s="6" t="n">
        <v>148322.43</v>
      </c>
      <c r="O244" s="8">
        <f>IF(AND(ISNUMBER(L244),ISNUMBER(J244)),0,1)</f>
        <v/>
      </c>
    </row>
    <row r="245">
      <c r="A245" s="2" t="inlineStr">
        <is>
          <t>STR-1064</t>
        </is>
      </c>
      <c r="B245" s="3" t="n">
        <v>45689</v>
      </c>
      <c r="C245" s="2" t="inlineStr">
        <is>
          <t>South</t>
        </is>
      </c>
      <c r="D245" s="2" t="inlineStr">
        <is>
          <t>Airport</t>
        </is>
      </c>
      <c r="E245" s="2" t="n">
        <v>63582.11</v>
      </c>
      <c r="F245" s="2" t="n">
        <v>6856</v>
      </c>
      <c r="G245" s="2" t="n">
        <v>0.074</v>
      </c>
      <c r="H245" s="2" t="n">
        <v>17</v>
      </c>
      <c r="I245" s="2" t="n">
        <v>89.5</v>
      </c>
      <c r="J245" s="2" t="n">
        <v>5.48</v>
      </c>
      <c r="K245" s="2" t="n">
        <v>0</v>
      </c>
      <c r="L245" s="2" t="n">
        <v>3.2</v>
      </c>
      <c r="M245" s="2" t="n">
        <v>799046.9399999999</v>
      </c>
      <c r="N245" s="2" t="n">
        <v>144553.64</v>
      </c>
      <c r="O245" s="5">
        <f>IF(AND(ISNUMBER(L245),ISNUMBER(J245)),0,1)</f>
        <v/>
      </c>
    </row>
    <row r="246">
      <c r="A246" s="6" t="inlineStr">
        <is>
          <t>STR-1064</t>
        </is>
      </c>
      <c r="B246" s="7" t="n">
        <v>45717</v>
      </c>
      <c r="C246" s="6" t="inlineStr">
        <is>
          <t>South</t>
        </is>
      </c>
      <c r="D246" s="6" t="inlineStr">
        <is>
          <t>Airport</t>
        </is>
      </c>
      <c r="E246" s="6" t="n">
        <v>75412.74000000001</v>
      </c>
      <c r="F246" s="6" t="n">
        <v>5641</v>
      </c>
      <c r="G246" s="6" t="n">
        <v>0.059</v>
      </c>
      <c r="H246" s="6" t="n">
        <v>13</v>
      </c>
      <c r="I246" s="6" t="n">
        <v>87.90000000000001</v>
      </c>
      <c r="J246" s="6" t="n">
        <v>0.84</v>
      </c>
      <c r="K246" s="6" t="n">
        <v>0</v>
      </c>
      <c r="L246" s="6" t="n">
        <v>3.6</v>
      </c>
      <c r="M246" s="6" t="n">
        <v>720079.54</v>
      </c>
      <c r="N246" s="6" t="n">
        <v>119499.47</v>
      </c>
      <c r="O246" s="8">
        <f>IF(AND(ISNUMBER(L246),ISNUMBER(J246)),0,1)</f>
        <v/>
      </c>
    </row>
    <row r="247">
      <c r="A247" s="2" t="inlineStr">
        <is>
          <t>STR-1064</t>
        </is>
      </c>
      <c r="B247" s="3" t="n">
        <v>45748</v>
      </c>
      <c r="C247" s="2" t="inlineStr">
        <is>
          <t>South</t>
        </is>
      </c>
      <c r="D247" s="2" t="inlineStr">
        <is>
          <t>Airport</t>
        </is>
      </c>
      <c r="E247" s="2" t="n">
        <v>36290.08</v>
      </c>
      <c r="F247" s="2" t="n">
        <v>5787</v>
      </c>
      <c r="G247" s="2" t="n">
        <v>0</v>
      </c>
      <c r="H247" s="2" t="n">
        <v>17</v>
      </c>
      <c r="I247" s="2" t="n">
        <v>88.3</v>
      </c>
      <c r="J247" s="2" t="n">
        <v>4.19</v>
      </c>
      <c r="K247" s="2" t="n">
        <v>0</v>
      </c>
      <c r="L247" s="2" t="n">
        <v>4.1</v>
      </c>
      <c r="M247" s="2" t="n">
        <v>612390.14</v>
      </c>
      <c r="N247" s="2" t="n">
        <v>108985.74</v>
      </c>
      <c r="O247" s="5">
        <f>IF(AND(ISNUMBER(L247),ISNUMBER(J247)),0,1)</f>
        <v/>
      </c>
    </row>
    <row r="248">
      <c r="A248" s="6" t="inlineStr">
        <is>
          <t>STR-1065</t>
        </is>
      </c>
      <c r="B248" s="7" t="n">
        <v>45658</v>
      </c>
      <c r="C248" s="6" t="inlineStr">
        <is>
          <t>South</t>
        </is>
      </c>
      <c r="D248" s="6" t="inlineStr">
        <is>
          <t>Mall</t>
        </is>
      </c>
      <c r="E248" s="6" t="n">
        <v>65272.58</v>
      </c>
      <c r="F248" s="6" t="n">
        <v>8165</v>
      </c>
      <c r="G248" s="6" t="n">
        <v>0.051</v>
      </c>
      <c r="H248" s="6" t="n">
        <v>19</v>
      </c>
      <c r="I248" s="6" t="n">
        <v>87.8</v>
      </c>
      <c r="J248" s="6" t="n">
        <v>1.26</v>
      </c>
      <c r="K248" s="6" t="n">
        <v>1</v>
      </c>
      <c r="L248" s="6" t="n">
        <v>4.3</v>
      </c>
      <c r="M248" s="6" t="n">
        <v>840108.12</v>
      </c>
      <c r="N248" s="6" t="n">
        <v>126587.01</v>
      </c>
      <c r="O248" s="8">
        <f>IF(AND(ISNUMBER(L248),ISNUMBER(J248)),0,1)</f>
        <v/>
      </c>
    </row>
    <row r="249">
      <c r="A249" s="2" t="inlineStr">
        <is>
          <t>STR-1065</t>
        </is>
      </c>
      <c r="B249" s="3" t="n">
        <v>45689</v>
      </c>
      <c r="C249" s="2" t="inlineStr">
        <is>
          <t>South</t>
        </is>
      </c>
      <c r="D249" s="2" t="inlineStr">
        <is>
          <t>Mall</t>
        </is>
      </c>
      <c r="E249" s="2" t="n">
        <v>28670.43</v>
      </c>
      <c r="F249" s="2" t="n">
        <v>7574</v>
      </c>
      <c r="G249" s="2" t="n">
        <v>0.114</v>
      </c>
      <c r="H249" s="2" t="n">
        <v>19</v>
      </c>
      <c r="I249" s="2" t="n">
        <v>82.7</v>
      </c>
      <c r="J249" s="2" t="n">
        <v>2.74</v>
      </c>
      <c r="K249" s="2" t="n">
        <v>0</v>
      </c>
      <c r="L249" s="2" t="n">
        <v>4.6</v>
      </c>
      <c r="M249" s="2" t="n">
        <v>697888.09</v>
      </c>
      <c r="N249" s="2" t="n">
        <v>116249.87</v>
      </c>
      <c r="O249" s="5">
        <f>IF(AND(ISNUMBER(L249),ISNUMBER(J249)),0,1)</f>
        <v/>
      </c>
    </row>
    <row r="250">
      <c r="A250" s="6" t="inlineStr">
        <is>
          <t>STR-1065</t>
        </is>
      </c>
      <c r="B250" s="7" t="n">
        <v>45717</v>
      </c>
      <c r="C250" s="6" t="inlineStr">
        <is>
          <t>South</t>
        </is>
      </c>
      <c r="D250" s="6" t="inlineStr">
        <is>
          <t>Mall</t>
        </is>
      </c>
      <c r="E250" s="6" t="n">
        <v>44189.34</v>
      </c>
      <c r="F250" s="6" t="n">
        <v>8634</v>
      </c>
      <c r="G250" s="6" t="n">
        <v>0.143</v>
      </c>
      <c r="H250" s="6" t="n">
        <v>19</v>
      </c>
      <c r="I250" s="6" t="n">
        <v>87.5</v>
      </c>
      <c r="J250" s="6" t="n">
        <v>3.69</v>
      </c>
      <c r="K250" s="6" t="n">
        <v>0</v>
      </c>
      <c r="L250" s="6" t="n">
        <v>4.4</v>
      </c>
      <c r="M250" s="6" t="n">
        <v>746115.59</v>
      </c>
      <c r="N250" s="6" t="n">
        <v>94662.96000000001</v>
      </c>
      <c r="O250" s="8">
        <f>IF(AND(ISNUMBER(L250),ISNUMBER(J250)),0,1)</f>
        <v/>
      </c>
    </row>
    <row r="251">
      <c r="A251" s="2" t="inlineStr">
        <is>
          <t>STR-1065</t>
        </is>
      </c>
      <c r="B251" s="3" t="n">
        <v>45748</v>
      </c>
      <c r="C251" s="2" t="inlineStr">
        <is>
          <t>South</t>
        </is>
      </c>
      <c r="D251" s="2" t="inlineStr">
        <is>
          <t>Mall</t>
        </is>
      </c>
      <c r="E251" s="2" t="n">
        <v>38397.82</v>
      </c>
      <c r="F251" s="2" t="n">
        <v>7836</v>
      </c>
      <c r="G251" s="2" t="n">
        <v>0.007</v>
      </c>
      <c r="H251" s="2" t="n">
        <v>21</v>
      </c>
      <c r="I251" s="2" t="n">
        <v>92.2</v>
      </c>
      <c r="J251" s="2" t="n">
        <v>1.82</v>
      </c>
      <c r="K251" s="2" t="n">
        <v>0</v>
      </c>
      <c r="L251" s="2" t="n">
        <v>3.6</v>
      </c>
      <c r="M251" s="2" t="n">
        <v>776110.3199999999</v>
      </c>
      <c r="N251" s="2" t="n">
        <v>139676.21</v>
      </c>
      <c r="O251" s="5">
        <f>IF(AND(ISNUMBER(L251),ISNUMBER(J251)),0,1)</f>
        <v/>
      </c>
    </row>
    <row r="252">
      <c r="A252" s="6" t="inlineStr">
        <is>
          <t>STR-1066</t>
        </is>
      </c>
      <c r="B252" s="7" t="n">
        <v>45658</v>
      </c>
      <c r="C252" s="6" t="inlineStr">
        <is>
          <t>West</t>
        </is>
      </c>
      <c r="D252" s="6" t="inlineStr">
        <is>
          <t>High Street</t>
        </is>
      </c>
      <c r="E252" s="6" t="n">
        <v>14519.37</v>
      </c>
      <c r="F252" s="6" t="n">
        <v>3047</v>
      </c>
      <c r="G252" s="6" t="n">
        <v>0.135</v>
      </c>
      <c r="H252" s="6" t="n">
        <v>10</v>
      </c>
      <c r="I252" s="6" t="n">
        <v>90.3</v>
      </c>
      <c r="J252" s="6" t="n">
        <v>6.62</v>
      </c>
      <c r="K252" s="6" t="n">
        <v>0</v>
      </c>
      <c r="L252" s="6" t="n">
        <v>4.2</v>
      </c>
      <c r="M252" s="6" t="n">
        <v>528852.62</v>
      </c>
      <c r="N252" s="6" t="n">
        <v>68426.21000000001</v>
      </c>
      <c r="O252" s="8">
        <f>IF(AND(ISNUMBER(L252),ISNUMBER(J252)),0,1)</f>
        <v/>
      </c>
    </row>
    <row r="253">
      <c r="A253" s="2" t="inlineStr">
        <is>
          <t>STR-1066</t>
        </is>
      </c>
      <c r="B253" s="3" t="n">
        <v>45717</v>
      </c>
      <c r="C253" s="2" t="inlineStr">
        <is>
          <t>West</t>
        </is>
      </c>
      <c r="D253" s="2" t="inlineStr">
        <is>
          <t>High Street</t>
        </is>
      </c>
      <c r="E253" s="2" t="n">
        <v>51450.55</v>
      </c>
      <c r="F253" s="2" t="n">
        <v>4902</v>
      </c>
      <c r="G253" s="2" t="n">
        <v>0.08599999999999999</v>
      </c>
      <c r="H253" s="2" t="n">
        <v>11</v>
      </c>
      <c r="I253" s="2" t="n">
        <v>83.7</v>
      </c>
      <c r="J253" s="2" t="n">
        <v>6.92</v>
      </c>
      <c r="K253" s="2" t="n">
        <v>1</v>
      </c>
      <c r="L253" s="2" t="n">
        <v>4.2</v>
      </c>
      <c r="M253" s="2" t="n">
        <v>677640.65</v>
      </c>
      <c r="N253" s="2" t="n">
        <v>111610.89</v>
      </c>
      <c r="O253" s="5">
        <f>IF(AND(ISNUMBER(L253),ISNUMBER(J253)),0,1)</f>
        <v/>
      </c>
    </row>
    <row r="254">
      <c r="A254" s="6" t="inlineStr">
        <is>
          <t>STR-1066</t>
        </is>
      </c>
      <c r="B254" s="7" t="n">
        <v>45748</v>
      </c>
      <c r="C254" s="6" t="inlineStr">
        <is>
          <t>West</t>
        </is>
      </c>
      <c r="D254" s="6" t="inlineStr">
        <is>
          <t>High Street</t>
        </is>
      </c>
      <c r="E254" s="6" t="n">
        <v>58688.26</v>
      </c>
      <c r="F254" s="6" t="n">
        <v>4022</v>
      </c>
      <c r="G254" s="6" t="n">
        <v>0.217</v>
      </c>
      <c r="H254" s="6" t="n">
        <v>12</v>
      </c>
      <c r="I254" s="6" t="n">
        <v>93.8</v>
      </c>
      <c r="J254" s="6" t="n">
        <v>11.78</v>
      </c>
      <c r="K254" s="6" t="n">
        <v>0</v>
      </c>
      <c r="L254" s="6" t="n">
        <v>3.7</v>
      </c>
      <c r="M254" s="6" t="n">
        <v>636613.23</v>
      </c>
      <c r="N254" s="6" t="n">
        <v>78908.35000000001</v>
      </c>
      <c r="O254" s="8">
        <f>IF(AND(ISNUMBER(L254),ISNUMBER(J254)),0,1)</f>
        <v/>
      </c>
    </row>
    <row r="255">
      <c r="A255" s="2" t="inlineStr">
        <is>
          <t>STR-1067</t>
        </is>
      </c>
      <c r="B255" s="3" t="n">
        <v>45658</v>
      </c>
      <c r="C255" s="2" t="inlineStr">
        <is>
          <t>East</t>
        </is>
      </c>
      <c r="D255" s="2" t="inlineStr">
        <is>
          <t>High Street</t>
        </is>
      </c>
      <c r="E255" s="2" t="n">
        <v>58981.91</v>
      </c>
      <c r="F255" s="2" t="n">
        <v>7324</v>
      </c>
      <c r="G255" s="2" t="n">
        <v>0.094</v>
      </c>
      <c r="H255" s="2" t="n">
        <v>15</v>
      </c>
      <c r="I255" s="2" t="n">
        <v>95.8</v>
      </c>
      <c r="J255" s="2" t="n">
        <v>0.5</v>
      </c>
      <c r="K255" s="2" t="n">
        <v>0</v>
      </c>
      <c r="L255" s="2" t="n">
        <v>3.5</v>
      </c>
      <c r="M255" s="2" t="n">
        <v>708985.1899999999</v>
      </c>
      <c r="N255" s="2" t="n">
        <v>125368.16</v>
      </c>
      <c r="O255" s="5">
        <f>IF(AND(ISNUMBER(L255),ISNUMBER(J255)),0,1)</f>
        <v/>
      </c>
    </row>
    <row r="256">
      <c r="A256" s="6" t="inlineStr">
        <is>
          <t>STR-1067</t>
        </is>
      </c>
      <c r="B256" s="7" t="n">
        <v>45689</v>
      </c>
      <c r="C256" s="6" t="inlineStr">
        <is>
          <t>East</t>
        </is>
      </c>
      <c r="D256" s="6" t="inlineStr">
        <is>
          <t>High Street</t>
        </is>
      </c>
      <c r="E256" s="6" t="n">
        <v>73454.53999999999</v>
      </c>
      <c r="F256" s="6" t="n">
        <v>8129</v>
      </c>
      <c r="G256" s="6" t="n">
        <v>0.211</v>
      </c>
      <c r="H256" s="6" t="n">
        <v>20</v>
      </c>
      <c r="I256" s="6" t="n">
        <v>85.2</v>
      </c>
      <c r="J256" s="6" t="n">
        <v>0.88</v>
      </c>
      <c r="K256" s="6" t="n">
        <v>0</v>
      </c>
      <c r="L256" s="6" t="n">
        <v>3.7</v>
      </c>
      <c r="M256" s="6" t="n">
        <v>767792.9399999999</v>
      </c>
      <c r="N256" s="6" t="n">
        <v>96235.77</v>
      </c>
      <c r="O256" s="8">
        <f>IF(AND(ISNUMBER(L256),ISNUMBER(J256)),0,1)</f>
        <v/>
      </c>
    </row>
    <row r="257">
      <c r="A257" s="2" t="inlineStr">
        <is>
          <t>STR-1067</t>
        </is>
      </c>
      <c r="B257" s="3" t="n">
        <v>45717</v>
      </c>
      <c r="C257" s="2" t="inlineStr">
        <is>
          <t>East</t>
        </is>
      </c>
      <c r="D257" s="2" t="inlineStr">
        <is>
          <t>High Street</t>
        </is>
      </c>
      <c r="E257" s="2" t="n">
        <v>56602.39</v>
      </c>
      <c r="F257" s="2" t="n">
        <v>7969</v>
      </c>
      <c r="G257" s="2" t="n">
        <v>0.17</v>
      </c>
      <c r="H257" s="2" t="n">
        <v>21</v>
      </c>
      <c r="I257" s="2" t="n">
        <v>88.3</v>
      </c>
      <c r="J257" s="2" t="n">
        <v>2.25</v>
      </c>
      <c r="K257" s="2" t="n">
        <v>0</v>
      </c>
      <c r="L257" s="2" t="n">
        <v>3.7</v>
      </c>
      <c r="M257" s="2" t="n">
        <v>745580.51</v>
      </c>
      <c r="N257" s="2" t="n">
        <v>116273.68</v>
      </c>
      <c r="O257" s="5">
        <f>IF(AND(ISNUMBER(L257),ISNUMBER(J257)),0,1)</f>
        <v/>
      </c>
    </row>
    <row r="258">
      <c r="A258" s="6" t="inlineStr">
        <is>
          <t>STR-1067</t>
        </is>
      </c>
      <c r="B258" s="7" t="n">
        <v>45748</v>
      </c>
      <c r="C258" s="6" t="inlineStr">
        <is>
          <t>East</t>
        </is>
      </c>
      <c r="D258" s="6" t="inlineStr">
        <is>
          <t>High Street</t>
        </is>
      </c>
      <c r="E258" s="6" t="n">
        <v>67722.28999999999</v>
      </c>
      <c r="F258" s="6" t="n">
        <v>7240</v>
      </c>
      <c r="G258" s="6" t="n">
        <v>0.026</v>
      </c>
      <c r="H258" s="6" t="n">
        <v>15</v>
      </c>
      <c r="I258" s="6" t="n">
        <v>92.90000000000001</v>
      </c>
      <c r="J258" s="6" t="n">
        <v>0.29</v>
      </c>
      <c r="K258" s="6" t="n">
        <v>0</v>
      </c>
      <c r="L258" s="6" t="n">
        <v>3.5</v>
      </c>
      <c r="M258" s="6" t="n">
        <v>762328.3100000001</v>
      </c>
      <c r="N258" s="6" t="n">
        <v>159158.19</v>
      </c>
      <c r="O258" s="8">
        <f>IF(AND(ISNUMBER(L258),ISNUMBER(J258)),0,1)</f>
        <v/>
      </c>
    </row>
    <row r="259">
      <c r="A259" s="2" t="inlineStr">
        <is>
          <t>STR-1068</t>
        </is>
      </c>
      <c r="B259" s="3" t="n">
        <v>45658</v>
      </c>
      <c r="C259" s="2" t="inlineStr">
        <is>
          <t>East</t>
        </is>
      </c>
      <c r="D259" s="2" t="inlineStr">
        <is>
          <t>Mall</t>
        </is>
      </c>
      <c r="E259" s="2" t="n">
        <v>48752.92</v>
      </c>
      <c r="F259" s="2" t="n">
        <v>8052</v>
      </c>
      <c r="G259" s="2" t="n">
        <v>0.106</v>
      </c>
      <c r="H259" s="2" t="n">
        <v>16</v>
      </c>
      <c r="I259" s="2" t="n">
        <v>94.90000000000001</v>
      </c>
      <c r="J259" s="2" t="n">
        <v>0.65</v>
      </c>
      <c r="K259" s="2" t="n">
        <v>0</v>
      </c>
      <c r="L259" s="2" t="n">
        <v>3.6</v>
      </c>
      <c r="M259" s="2" t="n">
        <v>660633.99</v>
      </c>
      <c r="N259" s="2" t="n">
        <v>118768.66</v>
      </c>
      <c r="O259" s="5">
        <f>IF(AND(ISNUMBER(L259),ISNUMBER(J259)),0,1)</f>
        <v/>
      </c>
    </row>
    <row r="260">
      <c r="A260" s="6" t="inlineStr">
        <is>
          <t>STR-1068</t>
        </is>
      </c>
      <c r="B260" s="7" t="n">
        <v>45689</v>
      </c>
      <c r="C260" s="6" t="inlineStr">
        <is>
          <t>East</t>
        </is>
      </c>
      <c r="D260" s="6" t="inlineStr">
        <is>
          <t>Mall</t>
        </is>
      </c>
      <c r="E260" s="6" t="n">
        <v>23914.97</v>
      </c>
      <c r="F260" s="6" t="n">
        <v>8018</v>
      </c>
      <c r="G260" s="6" t="n">
        <v>0.139</v>
      </c>
      <c r="H260" s="6" t="n">
        <v>20</v>
      </c>
      <c r="I260" s="6" t="n">
        <v>89</v>
      </c>
      <c r="J260" s="6" t="n">
        <v>0.2</v>
      </c>
      <c r="K260" s="6" t="n">
        <v>0</v>
      </c>
      <c r="L260" s="6" t="n">
        <v>3.5</v>
      </c>
      <c r="M260" s="6" t="n">
        <v>739374.5600000001</v>
      </c>
      <c r="N260" s="6" t="n">
        <v>121032.29</v>
      </c>
      <c r="O260" s="8">
        <f>IF(AND(ISNUMBER(L260),ISNUMBER(J260)),0,1)</f>
        <v/>
      </c>
    </row>
    <row r="261">
      <c r="A261" s="2" t="inlineStr">
        <is>
          <t>STR-1068</t>
        </is>
      </c>
      <c r="B261" s="3" t="n">
        <v>45717</v>
      </c>
      <c r="C261" s="2" t="inlineStr">
        <is>
          <t>East</t>
        </is>
      </c>
      <c r="D261" s="2" t="inlineStr">
        <is>
          <t>Mall</t>
        </is>
      </c>
      <c r="E261" s="2" t="n">
        <v>61995.3</v>
      </c>
      <c r="F261" s="2" t="n">
        <v>10192</v>
      </c>
      <c r="G261" s="2" t="n">
        <v>0.198</v>
      </c>
      <c r="H261" s="2" t="n">
        <v>21</v>
      </c>
      <c r="I261" s="2" t="n">
        <v>87.59999999999999</v>
      </c>
      <c r="J261" s="2" t="n">
        <v>3.63</v>
      </c>
      <c r="K261" s="2" t="n">
        <v>1</v>
      </c>
      <c r="L261" s="2" t="n">
        <v>3.8</v>
      </c>
      <c r="M261" s="2" t="n">
        <v>799756.46</v>
      </c>
      <c r="N261" s="2" t="n">
        <v>105052.93</v>
      </c>
      <c r="O261" s="5">
        <f>IF(AND(ISNUMBER(L261),ISNUMBER(J261)),0,1)</f>
        <v/>
      </c>
    </row>
    <row r="262">
      <c r="A262" s="6" t="inlineStr">
        <is>
          <t>STR-1068</t>
        </is>
      </c>
      <c r="B262" s="7" t="n">
        <v>45748</v>
      </c>
      <c r="C262" s="6" t="inlineStr">
        <is>
          <t>East</t>
        </is>
      </c>
      <c r="D262" s="6" t="inlineStr">
        <is>
          <t>Mall</t>
        </is>
      </c>
      <c r="E262" s="6" t="n">
        <v>29344.93</v>
      </c>
      <c r="F262" s="6" t="n">
        <v>7446</v>
      </c>
      <c r="G262" s="6" t="n">
        <v>0.111</v>
      </c>
      <c r="H262" s="6" t="n">
        <v>15</v>
      </c>
      <c r="I262" s="6" t="n">
        <v>86.2</v>
      </c>
      <c r="J262" s="6" t="n">
        <v>0.2</v>
      </c>
      <c r="K262" s="6" t="n">
        <v>0</v>
      </c>
      <c r="L262" s="6" t="n">
        <v>3.2</v>
      </c>
      <c r="M262" s="6" t="n">
        <v>593343</v>
      </c>
      <c r="N262" s="6" t="n">
        <v>82832.24000000001</v>
      </c>
      <c r="O262" s="8">
        <f>IF(AND(ISNUMBER(L262),ISNUMBER(J262)),0,1)</f>
        <v/>
      </c>
    </row>
    <row r="263">
      <c r="A263" s="2" t="inlineStr">
        <is>
          <t>STR-1069</t>
        </is>
      </c>
      <c r="B263" s="3" t="n">
        <v>45658</v>
      </c>
      <c r="C263" s="2" t="inlineStr">
        <is>
          <t>West</t>
        </is>
      </c>
      <c r="D263" s="2" t="inlineStr">
        <is>
          <t>High Street</t>
        </is>
      </c>
      <c r="E263" s="2" t="n">
        <v>50532.17</v>
      </c>
      <c r="F263" s="2" t="n">
        <v>5689</v>
      </c>
      <c r="G263" s="2" t="n">
        <v>0.052</v>
      </c>
      <c r="H263" s="2" t="n">
        <v>17</v>
      </c>
      <c r="I263" s="2" t="n">
        <v>85.59999999999999</v>
      </c>
      <c r="J263" s="2" t="n">
        <v>6.23</v>
      </c>
      <c r="K263" s="2" t="n">
        <v>0</v>
      </c>
      <c r="L263" s="2" t="n">
        <v>3.3</v>
      </c>
      <c r="M263" s="2" t="n">
        <v>645039.97</v>
      </c>
      <c r="N263" s="2" t="n">
        <v>83093.33</v>
      </c>
      <c r="O263" s="5">
        <f>IF(AND(ISNUMBER(L263),ISNUMBER(J263)),0,1)</f>
        <v/>
      </c>
    </row>
    <row r="264">
      <c r="A264" s="6" t="inlineStr">
        <is>
          <t>STR-1069</t>
        </is>
      </c>
      <c r="B264" s="7" t="n">
        <v>45689</v>
      </c>
      <c r="C264" s="6" t="inlineStr">
        <is>
          <t>West</t>
        </is>
      </c>
      <c r="D264" s="6" t="inlineStr">
        <is>
          <t>High Street</t>
        </is>
      </c>
      <c r="E264" s="6" t="n">
        <v>17562.57</v>
      </c>
      <c r="F264" s="6" t="n">
        <v>3326</v>
      </c>
      <c r="G264" s="6" t="n">
        <v>0.153</v>
      </c>
      <c r="H264" s="6" t="n">
        <v>14</v>
      </c>
      <c r="I264" s="6" t="n">
        <v>88.09999999999999</v>
      </c>
      <c r="J264" s="6" t="n">
        <v>1.04</v>
      </c>
      <c r="K264" s="6" t="n">
        <v>0</v>
      </c>
      <c r="L264" s="6" t="n">
        <v>3.1</v>
      </c>
      <c r="M264" s="6" t="n">
        <v>561597.33</v>
      </c>
      <c r="N264" s="6" t="n">
        <v>75072.75</v>
      </c>
      <c r="O264" s="8">
        <f>IF(AND(ISNUMBER(L264),ISNUMBER(J264)),0,1)</f>
        <v/>
      </c>
    </row>
    <row r="265">
      <c r="A265" s="2" t="inlineStr">
        <is>
          <t>STR-1069</t>
        </is>
      </c>
      <c r="B265" s="3" t="n">
        <v>45717</v>
      </c>
      <c r="C265" s="2" t="inlineStr">
        <is>
          <t>West</t>
        </is>
      </c>
      <c r="D265" s="2" t="inlineStr">
        <is>
          <t>High Street</t>
        </is>
      </c>
      <c r="E265" s="2" t="n">
        <v>47648.71</v>
      </c>
      <c r="F265" s="2" t="n">
        <v>5767</v>
      </c>
      <c r="G265" s="2" t="n">
        <v>0.141</v>
      </c>
      <c r="H265" s="2" t="n">
        <v>17</v>
      </c>
      <c r="I265" s="2" t="n">
        <v>89.8</v>
      </c>
      <c r="J265" s="2" t="n">
        <v>1.76</v>
      </c>
      <c r="K265" s="2" t="n">
        <v>0</v>
      </c>
      <c r="L265" s="2" t="n">
        <v>3.1</v>
      </c>
      <c r="M265" s="2" t="n">
        <v>635837.74</v>
      </c>
      <c r="N265" s="2" t="n">
        <v>114740.64</v>
      </c>
      <c r="O265" s="5">
        <f>IF(AND(ISNUMBER(L265),ISNUMBER(J265)),0,1)</f>
        <v/>
      </c>
    </row>
    <row r="266">
      <c r="A266" s="6" t="inlineStr">
        <is>
          <t>STR-1069</t>
        </is>
      </c>
      <c r="B266" s="7" t="n">
        <v>45748</v>
      </c>
      <c r="C266" s="6" t="inlineStr">
        <is>
          <t>West</t>
        </is>
      </c>
      <c r="D266" s="6" t="inlineStr">
        <is>
          <t>High Street</t>
        </is>
      </c>
      <c r="E266" s="6" t="n">
        <v>38297.58</v>
      </c>
      <c r="F266" s="6" t="n">
        <v>5893</v>
      </c>
      <c r="G266" s="6" t="n">
        <v>0.247</v>
      </c>
      <c r="H266" s="6" t="n">
        <v>18</v>
      </c>
      <c r="I266" s="6" t="n">
        <v>77.59999999999999</v>
      </c>
      <c r="J266" s="6" t="n">
        <v>2.86</v>
      </c>
      <c r="K266" s="6" t="n">
        <v>0</v>
      </c>
      <c r="L266" s="6" t="n">
        <v>3</v>
      </c>
      <c r="M266" s="6" t="n">
        <v>686737.87</v>
      </c>
      <c r="N266" s="6" t="n">
        <v>83839.67</v>
      </c>
      <c r="O266" s="8">
        <f>IF(AND(ISNUMBER(L266),ISNUMBER(J266)),0,1)</f>
        <v/>
      </c>
    </row>
    <row r="267">
      <c r="A267" s="2" t="inlineStr">
        <is>
          <t>STR-1070</t>
        </is>
      </c>
      <c r="B267" s="3" t="n">
        <v>45658</v>
      </c>
      <c r="C267" s="2" t="inlineStr">
        <is>
          <t>South</t>
        </is>
      </c>
      <c r="D267" s="2" t="inlineStr">
        <is>
          <t>Residential</t>
        </is>
      </c>
      <c r="E267" s="2" t="n">
        <v>61784.11</v>
      </c>
      <c r="F267" s="2" t="n">
        <v>8564</v>
      </c>
      <c r="G267" s="2" t="n">
        <v>0.13</v>
      </c>
      <c r="H267" s="2" t="n">
        <v>17</v>
      </c>
      <c r="I267" s="2" t="n">
        <v>87.40000000000001</v>
      </c>
      <c r="J267" s="2" t="n">
        <v>18.14</v>
      </c>
      <c r="K267" s="2" t="n">
        <v>1</v>
      </c>
      <c r="L267" s="2" t="n">
        <v>3.4</v>
      </c>
      <c r="M267" s="2" t="n">
        <v>673076.34</v>
      </c>
      <c r="N267" s="2" t="n">
        <v>93899.75999999999</v>
      </c>
      <c r="O267" s="5">
        <f>IF(AND(ISNUMBER(L267),ISNUMBER(J267)),0,1)</f>
        <v/>
      </c>
    </row>
    <row r="268">
      <c r="A268" s="6" t="inlineStr">
        <is>
          <t>STR-1070</t>
        </is>
      </c>
      <c r="B268" s="7" t="n">
        <v>45689</v>
      </c>
      <c r="C268" s="6" t="inlineStr">
        <is>
          <t>South</t>
        </is>
      </c>
      <c r="D268" s="6" t="inlineStr">
        <is>
          <t>Residential</t>
        </is>
      </c>
      <c r="E268" s="6" t="n">
        <v>36832.33</v>
      </c>
      <c r="F268" s="6" t="n">
        <v>8001</v>
      </c>
      <c r="G268" s="6" t="n">
        <v>0</v>
      </c>
      <c r="H268" s="6" t="n">
        <v>19</v>
      </c>
      <c r="I268" s="6" t="n">
        <v>88.7</v>
      </c>
      <c r="J268" s="6" t="n">
        <v>3.39</v>
      </c>
      <c r="K268" s="6" t="n">
        <v>0</v>
      </c>
      <c r="L268" s="6" t="n">
        <v>4</v>
      </c>
      <c r="M268" s="6" t="n">
        <v>738548.42</v>
      </c>
      <c r="N268" s="6" t="n">
        <v>134282.77</v>
      </c>
      <c r="O268" s="8">
        <f>IF(AND(ISNUMBER(L268),ISNUMBER(J268)),0,1)</f>
        <v/>
      </c>
    </row>
    <row r="269">
      <c r="A269" s="2" t="inlineStr">
        <is>
          <t>STR-1070</t>
        </is>
      </c>
      <c r="B269" s="3" t="n">
        <v>45717</v>
      </c>
      <c r="C269" s="2" t="inlineStr">
        <is>
          <t>South</t>
        </is>
      </c>
      <c r="D269" s="2" t="inlineStr">
        <is>
          <t>Residential</t>
        </is>
      </c>
      <c r="E269" s="2" t="n">
        <v>48609.41</v>
      </c>
      <c r="F269" s="2" t="n">
        <v>9324</v>
      </c>
      <c r="G269" s="2" t="n">
        <v>0.213</v>
      </c>
      <c r="H269" s="2" t="n">
        <v>18</v>
      </c>
      <c r="I269" s="2" t="n">
        <v>86.5</v>
      </c>
      <c r="J269" s="2" t="n">
        <v>1.44</v>
      </c>
      <c r="K269" s="2" t="n">
        <v>0</v>
      </c>
      <c r="L269" s="2" t="n">
        <v>3.9</v>
      </c>
      <c r="M269" s="2" t="n">
        <v>756619.77</v>
      </c>
      <c r="N269" s="2" t="n">
        <v>112057.69</v>
      </c>
      <c r="O269" s="5">
        <f>IF(AND(ISNUMBER(L269),ISNUMBER(J269)),0,1)</f>
        <v/>
      </c>
    </row>
    <row r="270">
      <c r="A270" s="6" t="inlineStr">
        <is>
          <t>STR-1070</t>
        </is>
      </c>
      <c r="B270" s="7" t="n">
        <v>45748</v>
      </c>
      <c r="C270" s="6" t="inlineStr">
        <is>
          <t>South</t>
        </is>
      </c>
      <c r="D270" s="6" t="inlineStr">
        <is>
          <t>Residential</t>
        </is>
      </c>
      <c r="E270" s="6" t="n">
        <v>70284.06</v>
      </c>
      <c r="F270" s="6" t="n">
        <v>9109</v>
      </c>
      <c r="G270" s="6" t="n">
        <v>0.004</v>
      </c>
      <c r="H270" s="6" t="n">
        <v>23</v>
      </c>
      <c r="I270" s="6" t="n">
        <v>87</v>
      </c>
      <c r="J270" s="6" t="n">
        <v>3.65</v>
      </c>
      <c r="K270" s="6" t="n">
        <v>0</v>
      </c>
      <c r="L270" s="6" t="n">
        <v>3.7</v>
      </c>
      <c r="M270" s="6" t="n">
        <v>761122.42</v>
      </c>
      <c r="N270" s="6" t="n">
        <v>149802.04</v>
      </c>
      <c r="O270" s="8">
        <f>IF(AND(ISNUMBER(L270),ISNUMBER(J270)),0,1)</f>
        <v/>
      </c>
    </row>
    <row r="271">
      <c r="A271" s="2" t="inlineStr">
        <is>
          <t>STR-1071</t>
        </is>
      </c>
      <c r="B271" s="3" t="n">
        <v>45658</v>
      </c>
      <c r="C271" s="2" t="inlineStr">
        <is>
          <t>South</t>
        </is>
      </c>
      <c r="D271" s="2" t="inlineStr">
        <is>
          <t>High Street</t>
        </is>
      </c>
      <c r="E271" s="2" t="n">
        <v>45940.39</v>
      </c>
      <c r="F271" s="2" t="n">
        <v>4022</v>
      </c>
      <c r="G271" s="2" t="n">
        <v>0.06900000000000001</v>
      </c>
      <c r="H271" s="2" t="n">
        <v>10</v>
      </c>
      <c r="I271" s="2" t="n">
        <v>83</v>
      </c>
      <c r="J271" s="2" t="n">
        <v>1.23</v>
      </c>
      <c r="K271" s="2" t="n">
        <v>1</v>
      </c>
      <c r="L271" s="2" t="n">
        <v>3.8</v>
      </c>
      <c r="M271" s="2" t="n">
        <v>524899.5699999999</v>
      </c>
      <c r="N271" s="2" t="n">
        <v>63619.98</v>
      </c>
      <c r="O271" s="5">
        <f>IF(AND(ISNUMBER(L271),ISNUMBER(J271)),0,1)</f>
        <v/>
      </c>
    </row>
    <row r="272">
      <c r="A272" s="6" t="inlineStr">
        <is>
          <t>STR-1071</t>
        </is>
      </c>
      <c r="B272" s="7" t="n">
        <v>45689</v>
      </c>
      <c r="C272" s="6" t="inlineStr">
        <is>
          <t>South</t>
        </is>
      </c>
      <c r="D272" s="6" t="inlineStr">
        <is>
          <t>High Street</t>
        </is>
      </c>
      <c r="E272" s="6" t="n">
        <v>34771.26</v>
      </c>
      <c r="F272" s="6" t="n">
        <v>4355</v>
      </c>
      <c r="G272" s="6" t="n">
        <v>0.051</v>
      </c>
      <c r="H272" s="6" t="n">
        <v>15</v>
      </c>
      <c r="I272" s="6" t="n">
        <v>87.90000000000001</v>
      </c>
      <c r="J272" s="6" t="n">
        <v>3.09</v>
      </c>
      <c r="K272" s="6" t="n">
        <v>0</v>
      </c>
      <c r="L272" s="6" t="n">
        <v>4</v>
      </c>
      <c r="M272" s="6" t="n">
        <v>555557.77</v>
      </c>
      <c r="N272" s="6" t="n">
        <v>86475.50999999999</v>
      </c>
      <c r="O272" s="8">
        <f>IF(AND(ISNUMBER(L272),ISNUMBER(J272)),0,1)</f>
        <v/>
      </c>
    </row>
    <row r="273">
      <c r="A273" s="2" t="inlineStr">
        <is>
          <t>STR-1071</t>
        </is>
      </c>
      <c r="B273" s="3" t="n">
        <v>45717</v>
      </c>
      <c r="C273" s="2" t="inlineStr">
        <is>
          <t>South</t>
        </is>
      </c>
      <c r="D273" s="2" t="inlineStr">
        <is>
          <t>High Street</t>
        </is>
      </c>
      <c r="E273" s="2" t="n">
        <v>66104.19</v>
      </c>
      <c r="F273" s="2" t="n">
        <v>5745</v>
      </c>
      <c r="G273" s="2" t="n">
        <v>0.07000000000000001</v>
      </c>
      <c r="H273" s="2" t="n">
        <v>17</v>
      </c>
      <c r="I273" s="2" t="n">
        <v>95.8</v>
      </c>
      <c r="J273" s="2" t="n">
        <v>3.15</v>
      </c>
      <c r="K273" s="2" t="n">
        <v>0</v>
      </c>
      <c r="L273" s="2" t="n">
        <v>4</v>
      </c>
      <c r="M273" s="2" t="n">
        <v>714083.6800000001</v>
      </c>
      <c r="N273" s="2" t="n">
        <v>127231.74</v>
      </c>
      <c r="O273" s="5">
        <f>IF(AND(ISNUMBER(L273),ISNUMBER(J273)),0,1)</f>
        <v/>
      </c>
    </row>
    <row r="274">
      <c r="A274" s="6" t="inlineStr">
        <is>
          <t>STR-1071</t>
        </is>
      </c>
      <c r="B274" s="7" t="n">
        <v>45748</v>
      </c>
      <c r="C274" s="6" t="inlineStr">
        <is>
          <t>South</t>
        </is>
      </c>
      <c r="D274" s="6" t="inlineStr">
        <is>
          <t>High Street</t>
        </is>
      </c>
      <c r="E274" s="6" t="n">
        <v>18599.21</v>
      </c>
      <c r="F274" s="6" t="n">
        <v>3027</v>
      </c>
      <c r="G274" s="6" t="n">
        <v>0.122</v>
      </c>
      <c r="H274" s="6" t="n">
        <v>11</v>
      </c>
      <c r="I274" s="6" t="n">
        <v>80.90000000000001</v>
      </c>
      <c r="J274" s="6" t="n">
        <v>6.44</v>
      </c>
      <c r="K274" s="6" t="n">
        <v>0</v>
      </c>
      <c r="L274" s="6" t="n">
        <v>4.2</v>
      </c>
      <c r="M274" s="6" t="n">
        <v>497439.82</v>
      </c>
      <c r="N274" s="6" t="n">
        <v>93372.75</v>
      </c>
      <c r="O274" s="8">
        <f>IF(AND(ISNUMBER(L274),ISNUMBER(J274)),0,1)</f>
        <v/>
      </c>
    </row>
    <row r="275">
      <c r="A275" s="2" t="inlineStr">
        <is>
          <t>STR-1072</t>
        </is>
      </c>
      <c r="B275" s="3" t="n">
        <v>45658</v>
      </c>
      <c r="C275" s="2" t="inlineStr">
        <is>
          <t>West</t>
        </is>
      </c>
      <c r="D275" s="2" t="inlineStr">
        <is>
          <t>Residential</t>
        </is>
      </c>
      <c r="E275" s="2" t="n">
        <v>60183.06</v>
      </c>
      <c r="F275" s="2" t="n">
        <v>5562</v>
      </c>
      <c r="G275" s="2" t="n">
        <v>0.008999999999999999</v>
      </c>
      <c r="H275" s="2" t="n">
        <v>13</v>
      </c>
      <c r="I275" s="2" t="n">
        <v>86.3</v>
      </c>
      <c r="J275" s="2" t="n">
        <v>0.2</v>
      </c>
      <c r="K275" s="2" t="n">
        <v>1</v>
      </c>
      <c r="L275" s="2" t="n">
        <v>4.5</v>
      </c>
      <c r="M275" s="2" t="n">
        <v>636775.66</v>
      </c>
      <c r="N275" s="2" t="n">
        <v>122636.86</v>
      </c>
      <c r="O275" s="5">
        <f>IF(AND(ISNUMBER(L275),ISNUMBER(J275)),0,1)</f>
        <v/>
      </c>
    </row>
    <row r="276">
      <c r="A276" s="6" t="inlineStr">
        <is>
          <t>STR-1072</t>
        </is>
      </c>
      <c r="B276" s="7" t="n">
        <v>45689</v>
      </c>
      <c r="C276" s="6" t="inlineStr">
        <is>
          <t>West</t>
        </is>
      </c>
      <c r="D276" s="6" t="inlineStr">
        <is>
          <t>Residential</t>
        </is>
      </c>
      <c r="E276" s="6" t="n">
        <v>74539.14</v>
      </c>
      <c r="F276" s="6" t="n">
        <v>4487</v>
      </c>
      <c r="G276" s="6" t="n">
        <v>0.14</v>
      </c>
      <c r="H276" s="6" t="n">
        <v>10</v>
      </c>
      <c r="I276" s="6" t="n">
        <v>90.40000000000001</v>
      </c>
      <c r="J276" s="6" t="n">
        <v>0.59</v>
      </c>
      <c r="K276" s="6" t="n">
        <v>0</v>
      </c>
      <c r="L276" s="6" t="n">
        <v>4.5</v>
      </c>
      <c r="M276" s="6" t="n">
        <v>633009.53</v>
      </c>
      <c r="N276" s="6" t="n">
        <v>123782.67</v>
      </c>
      <c r="O276" s="8">
        <f>IF(AND(ISNUMBER(L276),ISNUMBER(J276)),0,1)</f>
        <v/>
      </c>
    </row>
    <row r="277">
      <c r="A277" s="2" t="inlineStr">
        <is>
          <t>STR-1072</t>
        </is>
      </c>
      <c r="B277" s="3" t="n">
        <v>45717</v>
      </c>
      <c r="C277" s="2" t="inlineStr">
        <is>
          <t>West</t>
        </is>
      </c>
      <c r="D277" s="2" t="inlineStr">
        <is>
          <t>Residential</t>
        </is>
      </c>
      <c r="E277" s="2" t="n">
        <v>55371.97</v>
      </c>
      <c r="F277" s="2" t="n">
        <v>4162</v>
      </c>
      <c r="G277" s="2" t="n">
        <v>0.183</v>
      </c>
      <c r="H277" s="2" t="n">
        <v>11</v>
      </c>
      <c r="I277" s="2" t="n">
        <v>92</v>
      </c>
      <c r="J277" s="2" t="n">
        <v>0.2</v>
      </c>
      <c r="K277" s="2" t="n">
        <v>1</v>
      </c>
      <c r="L277" s="2" t="n">
        <v>4.2</v>
      </c>
      <c r="M277" s="2" t="n">
        <v>609949</v>
      </c>
      <c r="N277" s="2" t="n">
        <v>126789.25</v>
      </c>
      <c r="O277" s="5">
        <f>IF(AND(ISNUMBER(L277),ISNUMBER(J277)),0,1)</f>
        <v/>
      </c>
    </row>
    <row r="278">
      <c r="A278" s="6" t="inlineStr">
        <is>
          <t>STR-1072</t>
        </is>
      </c>
      <c r="B278" s="7" t="n">
        <v>45748</v>
      </c>
      <c r="C278" s="6" t="inlineStr">
        <is>
          <t>West</t>
        </is>
      </c>
      <c r="D278" s="6" t="inlineStr">
        <is>
          <t>Residential</t>
        </is>
      </c>
      <c r="E278" s="6" t="n">
        <v>40928.69</v>
      </c>
      <c r="F278" s="6" t="n">
        <v>4094</v>
      </c>
      <c r="G278" s="6" t="n">
        <v>0.174</v>
      </c>
      <c r="H278" s="6" t="n">
        <v>13</v>
      </c>
      <c r="I278" s="6" t="n">
        <v>82.40000000000001</v>
      </c>
      <c r="J278" s="6" t="n">
        <v>1.36</v>
      </c>
      <c r="K278" s="6" t="n">
        <v>0</v>
      </c>
      <c r="L278" s="6" t="n">
        <v>4.8</v>
      </c>
      <c r="M278" s="6" t="n">
        <v>548103.7</v>
      </c>
      <c r="N278" s="6" t="n">
        <v>99905.52</v>
      </c>
      <c r="O278" s="8">
        <f>IF(AND(ISNUMBER(L278),ISNUMBER(J278)),0,1)</f>
        <v/>
      </c>
    </row>
    <row r="279">
      <c r="A279" s="2" t="inlineStr">
        <is>
          <t>STR-1073</t>
        </is>
      </c>
      <c r="B279" s="3" t="n">
        <v>45658</v>
      </c>
      <c r="C279" s="2" t="inlineStr">
        <is>
          <t>East</t>
        </is>
      </c>
      <c r="D279" s="2" t="inlineStr">
        <is>
          <t>Residential</t>
        </is>
      </c>
      <c r="E279" s="2" t="n">
        <v>70012.41</v>
      </c>
      <c r="F279" s="2" t="n">
        <v>8484</v>
      </c>
      <c r="G279" s="2" t="n">
        <v>0.273</v>
      </c>
      <c r="H279" s="2" t="n">
        <v>23</v>
      </c>
      <c r="I279" s="2" t="n">
        <v>72.90000000000001</v>
      </c>
      <c r="J279" s="2" t="n">
        <v>3.34</v>
      </c>
      <c r="K279" s="2" t="n">
        <v>0</v>
      </c>
      <c r="L279" s="2" t="n">
        <v>3.7</v>
      </c>
      <c r="M279" s="2" t="n">
        <v>729424.42</v>
      </c>
      <c r="N279" s="2" t="n">
        <v>75592.28</v>
      </c>
      <c r="O279" s="5">
        <f>IF(AND(ISNUMBER(L279),ISNUMBER(J279)),0,1)</f>
        <v/>
      </c>
    </row>
    <row r="280">
      <c r="A280" s="6" t="inlineStr">
        <is>
          <t>STR-1073</t>
        </is>
      </c>
      <c r="B280" s="7" t="n">
        <v>45689</v>
      </c>
      <c r="C280" s="6" t="inlineStr">
        <is>
          <t>East</t>
        </is>
      </c>
      <c r="D280" s="6" t="inlineStr">
        <is>
          <t>Residential</t>
        </is>
      </c>
      <c r="E280" s="6" t="n">
        <v>68909.25999999999</v>
      </c>
      <c r="F280" s="6" t="n">
        <v>7794</v>
      </c>
      <c r="G280" s="6" t="n">
        <v>0.284</v>
      </c>
      <c r="H280" s="6" t="n">
        <v>22</v>
      </c>
      <c r="I280" s="6" t="n">
        <v>89</v>
      </c>
      <c r="J280" s="6" t="n">
        <v>0.33</v>
      </c>
      <c r="K280" s="6" t="n">
        <v>0</v>
      </c>
      <c r="L280" s="6" t="n">
        <v>4</v>
      </c>
      <c r="M280" s="6" t="n">
        <v>696261.49</v>
      </c>
      <c r="N280" s="6" t="n">
        <v>72455.35000000001</v>
      </c>
      <c r="O280" s="8">
        <f>IF(AND(ISNUMBER(L280),ISNUMBER(J280)),0,1)</f>
        <v/>
      </c>
    </row>
    <row r="281">
      <c r="A281" s="2" t="inlineStr">
        <is>
          <t>STR-1073</t>
        </is>
      </c>
      <c r="B281" s="3" t="n">
        <v>45717</v>
      </c>
      <c r="C281" s="2" t="inlineStr">
        <is>
          <t>East</t>
        </is>
      </c>
      <c r="D281" s="2" t="inlineStr">
        <is>
          <t>Residential</t>
        </is>
      </c>
      <c r="E281" s="2" t="n">
        <v>56737.3</v>
      </c>
      <c r="F281" s="2" t="n">
        <v>8300</v>
      </c>
      <c r="G281" s="2" t="n">
        <v>0.032</v>
      </c>
      <c r="H281" s="2" t="n">
        <v>21</v>
      </c>
      <c r="I281" s="2" t="n">
        <v>83.2</v>
      </c>
      <c r="J281" s="2" t="n">
        <v>3.44</v>
      </c>
      <c r="K281" s="2" t="n">
        <v>1</v>
      </c>
      <c r="L281" s="2" t="n">
        <v>4.3</v>
      </c>
      <c r="M281" s="2" t="n">
        <v>813316.71</v>
      </c>
      <c r="N281" s="2" t="n">
        <v>110077.42</v>
      </c>
      <c r="O281" s="5">
        <f>IF(AND(ISNUMBER(L281),ISNUMBER(J281)),0,1)</f>
        <v/>
      </c>
    </row>
    <row r="282">
      <c r="A282" s="6" t="inlineStr">
        <is>
          <t>STR-1073</t>
        </is>
      </c>
      <c r="B282" s="7" t="n">
        <v>45748</v>
      </c>
      <c r="C282" s="6" t="inlineStr">
        <is>
          <t>East</t>
        </is>
      </c>
      <c r="D282" s="6" t="inlineStr">
        <is>
          <t>Residential</t>
        </is>
      </c>
      <c r="E282" s="6" t="n">
        <v>54080.91</v>
      </c>
      <c r="F282" s="6" t="n">
        <v>7083</v>
      </c>
      <c r="G282" s="6" t="n">
        <v>0</v>
      </c>
      <c r="H282" s="6" t="n">
        <v>15</v>
      </c>
      <c r="I282" s="6" t="n">
        <v>97</v>
      </c>
      <c r="J282" s="6" t="n">
        <v>5.33</v>
      </c>
      <c r="K282" s="6" t="n">
        <v>0</v>
      </c>
      <c r="L282" s="6" t="n">
        <v>4.1</v>
      </c>
      <c r="M282" s="6" t="n">
        <v>702068.92</v>
      </c>
      <c r="N282" s="6" t="n">
        <v>111266.63</v>
      </c>
      <c r="O282" s="8">
        <f>IF(AND(ISNUMBER(L282),ISNUMBER(J282)),0,1)</f>
        <v/>
      </c>
    </row>
    <row r="283">
      <c r="A283" s="2" t="inlineStr">
        <is>
          <t>STR-1074</t>
        </is>
      </c>
      <c r="B283" s="3" t="n">
        <v>45658</v>
      </c>
      <c r="C283" s="2" t="inlineStr">
        <is>
          <t>West</t>
        </is>
      </c>
      <c r="D283" s="2" t="inlineStr">
        <is>
          <t>High Street</t>
        </is>
      </c>
      <c r="E283" s="2" t="n">
        <v>51996.32</v>
      </c>
      <c r="F283" s="2" t="n">
        <v>3834</v>
      </c>
      <c r="G283" s="2" t="n">
        <v>0.096</v>
      </c>
      <c r="H283" s="2" t="n">
        <v>8</v>
      </c>
      <c r="I283" s="2" t="n">
        <v>86.7</v>
      </c>
      <c r="J283" s="2" t="n">
        <v>6.04</v>
      </c>
      <c r="K283" s="2" t="n">
        <v>0</v>
      </c>
      <c r="L283" s="2" t="n">
        <v>4.5</v>
      </c>
      <c r="M283" s="2" t="n">
        <v>546223.7</v>
      </c>
      <c r="N283" s="2" t="n">
        <v>100769.17</v>
      </c>
      <c r="O283" s="5">
        <f>IF(AND(ISNUMBER(L283),ISNUMBER(J283)),0,1)</f>
        <v/>
      </c>
    </row>
    <row r="284">
      <c r="A284" s="6" t="inlineStr">
        <is>
          <t>STR-1074</t>
        </is>
      </c>
      <c r="B284" s="7" t="n">
        <v>45689</v>
      </c>
      <c r="C284" s="6" t="inlineStr">
        <is>
          <t>West</t>
        </is>
      </c>
      <c r="D284" s="6" t="inlineStr">
        <is>
          <t>High Street</t>
        </is>
      </c>
      <c r="E284" s="6" t="n">
        <v>40102.88</v>
      </c>
      <c r="F284" s="6" t="n">
        <v>2358</v>
      </c>
      <c r="G284" s="6" t="n">
        <v>0.119</v>
      </c>
      <c r="H284" s="6" t="n">
        <v>9</v>
      </c>
      <c r="I284" s="6" t="n">
        <v>88.7</v>
      </c>
      <c r="J284" s="6" t="n">
        <v>1.6</v>
      </c>
      <c r="K284" s="6" t="n">
        <v>0</v>
      </c>
      <c r="L284" s="6" t="n">
        <v>4.2</v>
      </c>
      <c r="M284" s="6" t="n">
        <v>533121.26</v>
      </c>
      <c r="N284" s="6" t="n">
        <v>55063.39</v>
      </c>
      <c r="O284" s="8">
        <f>IF(AND(ISNUMBER(L284),ISNUMBER(J284)),0,1)</f>
        <v/>
      </c>
    </row>
    <row r="285">
      <c r="A285" s="2" t="inlineStr">
        <is>
          <t>STR-1074</t>
        </is>
      </c>
      <c r="B285" s="3" t="n">
        <v>45717</v>
      </c>
      <c r="C285" s="2" t="inlineStr">
        <is>
          <t>West</t>
        </is>
      </c>
      <c r="D285" s="2" t="inlineStr">
        <is>
          <t>High Street</t>
        </is>
      </c>
      <c r="E285" s="2" t="n">
        <v>59825.51</v>
      </c>
      <c r="F285" s="2" t="n">
        <v>1231</v>
      </c>
      <c r="G285" s="2" t="n">
        <v>0.214</v>
      </c>
      <c r="H285" s="2" t="n">
        <v>10</v>
      </c>
      <c r="I285" s="2" t="n">
        <v>84.8</v>
      </c>
      <c r="J285" s="2" t="n">
        <v>8.960000000000001</v>
      </c>
      <c r="K285" s="2" t="n">
        <v>0</v>
      </c>
      <c r="L285" s="2" t="n">
        <v>4.7</v>
      </c>
      <c r="M285" s="2" t="n">
        <v>498970.32</v>
      </c>
      <c r="N285" s="2" t="n">
        <v>69656.7</v>
      </c>
      <c r="O285" s="5">
        <f>IF(AND(ISNUMBER(L285),ISNUMBER(J285)),0,1)</f>
        <v/>
      </c>
    </row>
    <row r="286">
      <c r="A286" s="6" t="inlineStr">
        <is>
          <t>STR-1074</t>
        </is>
      </c>
      <c r="B286" s="7" t="n">
        <v>45748</v>
      </c>
      <c r="C286" s="6" t="inlineStr">
        <is>
          <t>West</t>
        </is>
      </c>
      <c r="D286" s="6" t="inlineStr">
        <is>
          <t>High Street</t>
        </is>
      </c>
      <c r="E286" s="6" t="n">
        <v>27398.28</v>
      </c>
      <c r="F286" s="6" t="n">
        <v>1723</v>
      </c>
      <c r="G286" s="6" t="n">
        <v>0.171</v>
      </c>
      <c r="H286" s="6" t="n">
        <v>9</v>
      </c>
      <c r="I286" s="6" t="n">
        <v>81</v>
      </c>
      <c r="J286" s="6" t="n">
        <v>0.74</v>
      </c>
      <c r="K286" s="6" t="n">
        <v>0</v>
      </c>
      <c r="L286" s="6" t="n">
        <v>4.6</v>
      </c>
      <c r="M286" s="6" t="n">
        <v>487738.26</v>
      </c>
      <c r="N286" s="6" t="n">
        <v>96435.60000000001</v>
      </c>
      <c r="O286" s="8">
        <f>IF(AND(ISNUMBER(L286),ISNUMBER(J286)),0,1)</f>
        <v/>
      </c>
    </row>
    <row r="287">
      <c r="A287" s="2" t="inlineStr">
        <is>
          <t>STR-1075</t>
        </is>
      </c>
      <c r="B287" s="3" t="n">
        <v>45658</v>
      </c>
      <c r="C287" s="2" t="inlineStr">
        <is>
          <t>West</t>
        </is>
      </c>
      <c r="D287" s="2" t="inlineStr">
        <is>
          <t>High Street</t>
        </is>
      </c>
      <c r="E287" s="2" t="n">
        <v>55599.56</v>
      </c>
      <c r="F287" s="2" t="n">
        <v>5896</v>
      </c>
      <c r="G287" s="2" t="n">
        <v>0.036</v>
      </c>
      <c r="H287" s="2" t="n">
        <v>12</v>
      </c>
      <c r="I287" s="2" t="n">
        <v>93.09999999999999</v>
      </c>
      <c r="J287" s="2" t="n">
        <v>6.13</v>
      </c>
      <c r="K287" s="2" t="n">
        <v>0</v>
      </c>
      <c r="L287" s="2" t="n">
        <v>3.3</v>
      </c>
      <c r="M287" s="2" t="n">
        <v>668459.37</v>
      </c>
      <c r="N287" s="2" t="n">
        <v>126435.42</v>
      </c>
      <c r="O287" s="5">
        <f>IF(AND(ISNUMBER(L287),ISNUMBER(J287)),0,1)</f>
        <v/>
      </c>
    </row>
    <row r="288">
      <c r="A288" s="6" t="inlineStr">
        <is>
          <t>STR-1075</t>
        </is>
      </c>
      <c r="B288" s="7" t="n">
        <v>45689</v>
      </c>
      <c r="C288" s="6" t="inlineStr">
        <is>
          <t>West</t>
        </is>
      </c>
      <c r="D288" s="6" t="inlineStr">
        <is>
          <t>High Street</t>
        </is>
      </c>
      <c r="E288" s="6" t="n">
        <v>55477.61</v>
      </c>
      <c r="F288" s="6" t="n">
        <v>5903</v>
      </c>
      <c r="G288" s="6" t="n">
        <v>0.102</v>
      </c>
      <c r="H288" s="6" t="n">
        <v>14</v>
      </c>
      <c r="I288" s="6" t="n">
        <v>96.2</v>
      </c>
      <c r="J288" s="6" t="n">
        <v>1.41</v>
      </c>
      <c r="K288" s="6" t="n">
        <v>0</v>
      </c>
      <c r="L288" s="6" t="n">
        <v>3.3</v>
      </c>
      <c r="M288" s="6" t="n">
        <v>763162.45</v>
      </c>
      <c r="N288" s="6" t="n">
        <v>162524.05</v>
      </c>
      <c r="O288" s="8">
        <f>IF(AND(ISNUMBER(L288),ISNUMBER(J288)),0,1)</f>
        <v/>
      </c>
    </row>
    <row r="289">
      <c r="A289" s="2" t="inlineStr">
        <is>
          <t>STR-1075</t>
        </is>
      </c>
      <c r="B289" s="3" t="n">
        <v>45717</v>
      </c>
      <c r="C289" s="2" t="inlineStr">
        <is>
          <t>West</t>
        </is>
      </c>
      <c r="D289" s="2" t="inlineStr">
        <is>
          <t>High Street</t>
        </is>
      </c>
      <c r="E289" s="2" t="n">
        <v>46174.7</v>
      </c>
      <c r="F289" s="2" t="n">
        <v>4898</v>
      </c>
      <c r="G289" s="2" t="n">
        <v>0.114</v>
      </c>
      <c r="H289" s="2" t="n">
        <v>11</v>
      </c>
      <c r="I289" s="2" t="n">
        <v>91.7</v>
      </c>
      <c r="J289" s="2" t="n">
        <v>3.75</v>
      </c>
      <c r="K289" s="2" t="n">
        <v>0</v>
      </c>
      <c r="L289" s="2" t="n">
        <v>3.1</v>
      </c>
      <c r="M289" s="2" t="n">
        <v>599017.33</v>
      </c>
      <c r="N289" s="2" t="n">
        <v>134009.92</v>
      </c>
      <c r="O289" s="5">
        <f>IF(AND(ISNUMBER(L289),ISNUMBER(J289)),0,1)</f>
        <v/>
      </c>
    </row>
    <row r="290">
      <c r="A290" s="6" t="inlineStr">
        <is>
          <t>STR-1075</t>
        </is>
      </c>
      <c r="B290" s="7" t="n">
        <v>45748</v>
      </c>
      <c r="C290" s="6" t="inlineStr">
        <is>
          <t>West</t>
        </is>
      </c>
      <c r="D290" s="6" t="inlineStr">
        <is>
          <t>High Street</t>
        </is>
      </c>
      <c r="E290" s="6" t="n">
        <v>24362.98</v>
      </c>
      <c r="F290" s="6" t="n">
        <v>1462</v>
      </c>
      <c r="G290" s="6" t="n">
        <v>0.117</v>
      </c>
      <c r="H290" s="6" t="n">
        <v>6</v>
      </c>
      <c r="I290" s="6" t="n">
        <v>89.3</v>
      </c>
      <c r="J290" s="6" t="n">
        <v>15.06</v>
      </c>
      <c r="K290" s="6" t="n">
        <v>0</v>
      </c>
      <c r="L290" s="6" t="n">
        <v>3.2</v>
      </c>
      <c r="M290" s="6" t="n">
        <v>401582.58</v>
      </c>
      <c r="N290" s="6" t="n">
        <v>68454.92999999999</v>
      </c>
      <c r="O290" s="8">
        <f>IF(AND(ISNUMBER(L290),ISNUMBER(J290)),0,1)</f>
        <v/>
      </c>
    </row>
    <row r="291">
      <c r="A291" s="2" t="inlineStr">
        <is>
          <t>STR-1076</t>
        </is>
      </c>
      <c r="B291" s="3" t="n">
        <v>45658</v>
      </c>
      <c r="C291" s="2" t="inlineStr">
        <is>
          <t>North</t>
        </is>
      </c>
      <c r="D291" s="2" t="inlineStr">
        <is>
          <t>Mall</t>
        </is>
      </c>
      <c r="E291" s="2" t="n">
        <v>40647.67</v>
      </c>
      <c r="F291" s="2" t="n">
        <v>8252</v>
      </c>
      <c r="G291" s="2" t="n">
        <v>0.141</v>
      </c>
      <c r="H291" s="2" t="n">
        <v>22</v>
      </c>
      <c r="I291" s="2" t="n">
        <v>88.2</v>
      </c>
      <c r="J291" s="2" t="n">
        <v>5.07</v>
      </c>
      <c r="K291" s="2" t="n">
        <v>1</v>
      </c>
      <c r="L291" s="2" t="n">
        <v>4.1</v>
      </c>
      <c r="M291" s="2" t="n">
        <v>703812.99</v>
      </c>
      <c r="N291" s="2" t="n">
        <v>133577.98</v>
      </c>
      <c r="O291" s="5">
        <f>IF(AND(ISNUMBER(L291),ISNUMBER(J291)),0,1)</f>
        <v/>
      </c>
    </row>
    <row r="292">
      <c r="A292" s="6" t="inlineStr">
        <is>
          <t>STR-1076</t>
        </is>
      </c>
      <c r="B292" s="7" t="n">
        <v>45689</v>
      </c>
      <c r="C292" s="6" t="inlineStr">
        <is>
          <t>North</t>
        </is>
      </c>
      <c r="D292" s="6" t="inlineStr">
        <is>
          <t>Mall</t>
        </is>
      </c>
      <c r="E292" s="6" t="n">
        <v>63986.98</v>
      </c>
      <c r="F292" s="6" t="n">
        <v>7989</v>
      </c>
      <c r="G292" s="6" t="n">
        <v>0.074</v>
      </c>
      <c r="H292" s="6" t="n">
        <v>20</v>
      </c>
      <c r="I292" s="6" t="n">
        <v>83.3</v>
      </c>
      <c r="J292" s="6" t="n">
        <v>3.6</v>
      </c>
      <c r="K292" s="6" t="n">
        <v>0</v>
      </c>
      <c r="L292" s="6" t="n">
        <v>3.7</v>
      </c>
      <c r="M292" s="6" t="n">
        <v>724346.73</v>
      </c>
      <c r="N292" s="6" t="n">
        <v>155013.91</v>
      </c>
      <c r="O292" s="8">
        <f>IF(AND(ISNUMBER(L292),ISNUMBER(J292)),0,1)</f>
        <v/>
      </c>
    </row>
    <row r="293">
      <c r="A293" s="2" t="inlineStr">
        <is>
          <t>STR-1076</t>
        </is>
      </c>
      <c r="B293" s="3" t="n">
        <v>45717</v>
      </c>
      <c r="C293" s="2" t="inlineStr">
        <is>
          <t>North</t>
        </is>
      </c>
      <c r="D293" s="2" t="inlineStr">
        <is>
          <t>Mall</t>
        </is>
      </c>
      <c r="E293" s="2" t="n">
        <v>52843.75</v>
      </c>
      <c r="F293" s="2" t="n">
        <v>8268</v>
      </c>
      <c r="G293" s="2" t="n">
        <v>0.138</v>
      </c>
      <c r="H293" s="2" t="n">
        <v>19</v>
      </c>
      <c r="I293" s="2" t="n">
        <v>87.3</v>
      </c>
      <c r="J293" s="2" t="n">
        <v>4.39</v>
      </c>
      <c r="K293" s="2" t="n">
        <v>1</v>
      </c>
      <c r="L293" s="2" t="n">
        <v>4.7</v>
      </c>
      <c r="M293" s="2" t="n">
        <v>730890.01</v>
      </c>
      <c r="N293" s="2" t="n">
        <v>105502.56</v>
      </c>
      <c r="O293" s="5">
        <f>IF(AND(ISNUMBER(L293),ISNUMBER(J293)),0,1)</f>
        <v/>
      </c>
    </row>
    <row r="294">
      <c r="A294" s="6" t="inlineStr">
        <is>
          <t>STR-1076</t>
        </is>
      </c>
      <c r="B294" s="7" t="n">
        <v>45748</v>
      </c>
      <c r="C294" s="6" t="inlineStr">
        <is>
          <t>North</t>
        </is>
      </c>
      <c r="D294" s="6" t="inlineStr">
        <is>
          <t>Mall</t>
        </is>
      </c>
      <c r="E294" s="6" t="n">
        <v>31997.25</v>
      </c>
      <c r="F294" s="6" t="n">
        <v>8183</v>
      </c>
      <c r="G294" s="6" t="n">
        <v>0.198</v>
      </c>
      <c r="H294" s="6" t="n">
        <v>18</v>
      </c>
      <c r="I294" s="6" t="n">
        <v>93</v>
      </c>
      <c r="J294" s="6" t="n">
        <v>2.79</v>
      </c>
      <c r="K294" s="6" t="n">
        <v>0</v>
      </c>
      <c r="L294" s="6" t="n">
        <v>4.2</v>
      </c>
      <c r="M294" s="6" t="n">
        <v>780580.95</v>
      </c>
      <c r="N294" s="6" t="n">
        <v>138144.46</v>
      </c>
      <c r="O294" s="8">
        <f>IF(AND(ISNUMBER(L294),ISNUMBER(J294)),0,1)</f>
        <v/>
      </c>
    </row>
    <row r="295">
      <c r="A295" s="2" t="inlineStr">
        <is>
          <t>STR-1077</t>
        </is>
      </c>
      <c r="B295" s="3" t="n">
        <v>45658</v>
      </c>
      <c r="C295" s="2" t="inlineStr">
        <is>
          <t>South</t>
        </is>
      </c>
      <c r="D295" s="2" t="inlineStr">
        <is>
          <t>Residential</t>
        </is>
      </c>
      <c r="E295" s="2" t="n">
        <v>54948.02</v>
      </c>
      <c r="F295" s="2" t="n">
        <v>6534</v>
      </c>
      <c r="G295" s="2" t="n">
        <v>0.183</v>
      </c>
      <c r="H295" s="2" t="n">
        <v>14</v>
      </c>
      <c r="I295" s="2" t="n">
        <v>94.5</v>
      </c>
      <c r="J295" s="2" t="n">
        <v>1.56</v>
      </c>
      <c r="K295" s="2" t="n">
        <v>0</v>
      </c>
      <c r="L295" s="2" t="n">
        <v>4</v>
      </c>
      <c r="M295" s="2" t="n">
        <v>727957.48</v>
      </c>
      <c r="N295" s="2" t="n">
        <v>74805.23</v>
      </c>
      <c r="O295" s="5">
        <f>IF(AND(ISNUMBER(L295),ISNUMBER(J295)),0,1)</f>
        <v/>
      </c>
    </row>
    <row r="296">
      <c r="A296" s="6" t="inlineStr">
        <is>
          <t>STR-1077</t>
        </is>
      </c>
      <c r="B296" s="7" t="n">
        <v>45689</v>
      </c>
      <c r="C296" s="6" t="inlineStr">
        <is>
          <t>South</t>
        </is>
      </c>
      <c r="D296" s="6" t="inlineStr">
        <is>
          <t>Residential</t>
        </is>
      </c>
      <c r="E296" s="6" t="n">
        <v>46146.24</v>
      </c>
      <c r="F296" s="6" t="n">
        <v>5804</v>
      </c>
      <c r="G296" s="6" t="n">
        <v>0.047</v>
      </c>
      <c r="H296" s="6" t="n">
        <v>16</v>
      </c>
      <c r="I296" s="6" t="n">
        <v>86.90000000000001</v>
      </c>
      <c r="J296" s="6" t="n">
        <v>15.82</v>
      </c>
      <c r="K296" s="6" t="n">
        <v>0</v>
      </c>
      <c r="L296" s="6" t="n">
        <v>3.8</v>
      </c>
      <c r="M296" s="6" t="n">
        <v>538376</v>
      </c>
      <c r="N296" s="6" t="n">
        <v>87605.62</v>
      </c>
      <c r="O296" s="8">
        <f>IF(AND(ISNUMBER(L296),ISNUMBER(J296)),0,1)</f>
        <v/>
      </c>
    </row>
    <row r="297">
      <c r="A297" s="2" t="inlineStr">
        <is>
          <t>STR-1077</t>
        </is>
      </c>
      <c r="B297" s="3" t="n">
        <v>45717</v>
      </c>
      <c r="C297" s="2" t="inlineStr">
        <is>
          <t>South</t>
        </is>
      </c>
      <c r="D297" s="2" t="inlineStr">
        <is>
          <t>Residential</t>
        </is>
      </c>
      <c r="E297" s="2" t="n">
        <v>22387.26</v>
      </c>
      <c r="F297" s="2" t="n">
        <v>6301</v>
      </c>
      <c r="G297" s="2" t="n">
        <v>0.146</v>
      </c>
      <c r="H297" s="2" t="n">
        <v>14</v>
      </c>
      <c r="I297" s="2" t="n">
        <v>85.90000000000001</v>
      </c>
      <c r="J297" s="2" t="n">
        <v>1.17</v>
      </c>
      <c r="K297" s="2" t="n">
        <v>1</v>
      </c>
      <c r="L297" s="2" t="n">
        <v>3.7</v>
      </c>
      <c r="M297" s="2" t="n">
        <v>665342.49</v>
      </c>
      <c r="N297" s="2" t="n">
        <v>93441.81</v>
      </c>
      <c r="O297" s="5">
        <f>IF(AND(ISNUMBER(L297),ISNUMBER(J297)),0,1)</f>
        <v/>
      </c>
    </row>
    <row r="298">
      <c r="A298" s="6" t="inlineStr">
        <is>
          <t>STR-1077</t>
        </is>
      </c>
      <c r="B298" s="7" t="n">
        <v>45748</v>
      </c>
      <c r="C298" s="6" t="inlineStr">
        <is>
          <t>South</t>
        </is>
      </c>
      <c r="D298" s="6" t="inlineStr">
        <is>
          <t>Residential</t>
        </is>
      </c>
      <c r="E298" s="6" t="n">
        <v>60684.05</v>
      </c>
      <c r="F298" s="6" t="n">
        <v>6399</v>
      </c>
      <c r="G298" s="6" t="n">
        <v>0.075</v>
      </c>
      <c r="H298" s="6" t="n">
        <v>16</v>
      </c>
      <c r="I298" s="6" t="n">
        <v>99</v>
      </c>
      <c r="J298" s="6" t="n">
        <v>3.82</v>
      </c>
      <c r="K298" s="6" t="n">
        <v>0</v>
      </c>
      <c r="L298" s="6" t="n">
        <v>3.5</v>
      </c>
      <c r="M298" s="6" t="n">
        <v>651164.1800000001</v>
      </c>
      <c r="N298" s="6" t="n">
        <v>109466.5</v>
      </c>
      <c r="O298" s="8">
        <f>IF(AND(ISNUMBER(L298),ISNUMBER(J298)),0,1)</f>
        <v/>
      </c>
    </row>
    <row r="299">
      <c r="A299" s="2" t="inlineStr">
        <is>
          <t>STR-1078</t>
        </is>
      </c>
      <c r="B299" s="3" t="n">
        <v>45658</v>
      </c>
      <c r="C299" s="2" t="inlineStr">
        <is>
          <t>South</t>
        </is>
      </c>
      <c r="D299" s="2" t="inlineStr">
        <is>
          <t>High Street</t>
        </is>
      </c>
      <c r="E299" s="2" t="n">
        <v>48465.6</v>
      </c>
      <c r="F299" s="2" t="n">
        <v>5759</v>
      </c>
      <c r="G299" s="2" t="n">
        <v>0.154</v>
      </c>
      <c r="H299" s="2" t="n">
        <v>13</v>
      </c>
      <c r="I299" s="2" t="n">
        <v>87.5</v>
      </c>
      <c r="J299" s="2" t="n">
        <v>4.14</v>
      </c>
      <c r="K299" s="2" t="n">
        <v>0</v>
      </c>
      <c r="L299" s="2" t="n">
        <v>4</v>
      </c>
      <c r="M299" s="2" t="n">
        <v>628538.3</v>
      </c>
      <c r="N299" s="2" t="n">
        <v>112509.15</v>
      </c>
      <c r="O299" s="5">
        <f>IF(AND(ISNUMBER(L299),ISNUMBER(J299)),0,1)</f>
        <v/>
      </c>
    </row>
    <row r="300">
      <c r="A300" s="6" t="inlineStr">
        <is>
          <t>STR-1078</t>
        </is>
      </c>
      <c r="B300" s="7" t="n">
        <v>45689</v>
      </c>
      <c r="C300" s="6" t="inlineStr">
        <is>
          <t>South</t>
        </is>
      </c>
      <c r="D300" s="6" t="inlineStr">
        <is>
          <t>High Street</t>
        </is>
      </c>
      <c r="E300" s="6" t="n">
        <v>23702.38</v>
      </c>
      <c r="F300" s="6" t="n">
        <v>5285</v>
      </c>
      <c r="G300" s="6" t="n">
        <v>0.167</v>
      </c>
      <c r="H300" s="6" t="n">
        <v>14</v>
      </c>
      <c r="I300" s="6" t="n">
        <v>79.7</v>
      </c>
      <c r="J300" s="6" t="n">
        <v>1.1</v>
      </c>
      <c r="K300" s="6" t="n">
        <v>0</v>
      </c>
      <c r="L300" s="6" t="n">
        <v>4.3</v>
      </c>
      <c r="M300" s="6" t="n">
        <v>536524.84</v>
      </c>
      <c r="N300" s="6" t="n">
        <v>92752.94</v>
      </c>
      <c r="O300" s="8">
        <f>IF(AND(ISNUMBER(L300),ISNUMBER(J300)),0,1)</f>
        <v/>
      </c>
    </row>
    <row r="301">
      <c r="A301" s="2" t="inlineStr">
        <is>
          <t>STR-1078</t>
        </is>
      </c>
      <c r="B301" s="3" t="n">
        <v>45717</v>
      </c>
      <c r="C301" s="2" t="inlineStr">
        <is>
          <t>South</t>
        </is>
      </c>
      <c r="D301" s="2" t="inlineStr">
        <is>
          <t>High Street</t>
        </is>
      </c>
      <c r="E301" s="2" t="n">
        <v>54322.94</v>
      </c>
      <c r="F301" s="2" t="n">
        <v>5434</v>
      </c>
      <c r="G301" s="2" t="n">
        <v>0.2</v>
      </c>
      <c r="H301" s="2" t="n">
        <v>13</v>
      </c>
      <c r="I301" s="2" t="n">
        <v>85.7</v>
      </c>
      <c r="J301" s="2" t="n">
        <v>10.6</v>
      </c>
      <c r="K301" s="2" t="n">
        <v>0</v>
      </c>
      <c r="L301" s="2" t="n">
        <v>4.2</v>
      </c>
      <c r="M301" s="2" t="n">
        <v>621677.3</v>
      </c>
      <c r="N301" s="2" t="n">
        <v>105192.52</v>
      </c>
      <c r="O301" s="5">
        <f>IF(AND(ISNUMBER(L301),ISNUMBER(J301)),0,1)</f>
        <v/>
      </c>
    </row>
    <row r="302">
      <c r="A302" s="6" t="inlineStr">
        <is>
          <t>STR-1079</t>
        </is>
      </c>
      <c r="B302" s="7" t="n">
        <v>45658</v>
      </c>
      <c r="C302" s="6" t="inlineStr">
        <is>
          <t>North</t>
        </is>
      </c>
      <c r="D302" s="6" t="inlineStr">
        <is>
          <t>Residential</t>
        </is>
      </c>
      <c r="E302" s="6" t="n">
        <v>78967.52</v>
      </c>
      <c r="F302" s="6" t="n">
        <v>6164</v>
      </c>
      <c r="G302" s="6" t="n">
        <v>0.021</v>
      </c>
      <c r="H302" s="6" t="n">
        <v>16</v>
      </c>
      <c r="I302" s="6" t="n">
        <v>85.5</v>
      </c>
      <c r="J302" s="6" t="n">
        <v>0.2</v>
      </c>
      <c r="K302" s="6" t="n">
        <v>0</v>
      </c>
      <c r="L302" s="6" t="n">
        <v>3.4</v>
      </c>
      <c r="M302" s="6" t="n">
        <v>702052.47</v>
      </c>
      <c r="N302" s="6" t="n">
        <v>121732.51</v>
      </c>
      <c r="O302" s="8">
        <f>IF(AND(ISNUMBER(L302),ISNUMBER(J302)),0,1)</f>
        <v/>
      </c>
    </row>
    <row r="303">
      <c r="A303" s="2" t="inlineStr">
        <is>
          <t>STR-1079</t>
        </is>
      </c>
      <c r="B303" s="3" t="n">
        <v>45717</v>
      </c>
      <c r="C303" s="2" t="inlineStr">
        <is>
          <t>North</t>
        </is>
      </c>
      <c r="D303" s="2" t="inlineStr">
        <is>
          <t>Residential</t>
        </is>
      </c>
      <c r="E303" s="2" t="n">
        <v>62507.16</v>
      </c>
      <c r="F303" s="2" t="n">
        <v>6000</v>
      </c>
      <c r="G303" s="2" t="n">
        <v>0.091</v>
      </c>
      <c r="H303" s="2" t="n">
        <v>14</v>
      </c>
      <c r="I303" s="2" t="n">
        <v>98.2</v>
      </c>
      <c r="J303" s="2" t="n">
        <v>4.38</v>
      </c>
      <c r="K303" s="2" t="n">
        <v>1</v>
      </c>
      <c r="L303" s="2" t="n">
        <v>3.9</v>
      </c>
      <c r="M303" s="2" t="n">
        <v>712375.77</v>
      </c>
      <c r="N303" s="2" t="n">
        <v>104171.53</v>
      </c>
      <c r="O303" s="5">
        <f>IF(AND(ISNUMBER(L303),ISNUMBER(J303)),0,1)</f>
        <v/>
      </c>
    </row>
    <row r="304">
      <c r="A304" s="6" t="inlineStr">
        <is>
          <t>STR-1079</t>
        </is>
      </c>
      <c r="B304" s="7" t="n">
        <v>45748</v>
      </c>
      <c r="C304" s="6" t="inlineStr">
        <is>
          <t>North</t>
        </is>
      </c>
      <c r="D304" s="6" t="inlineStr">
        <is>
          <t>Residential</t>
        </is>
      </c>
      <c r="E304" s="6" t="n">
        <v>66456.28</v>
      </c>
      <c r="F304" s="6" t="n">
        <v>9967</v>
      </c>
      <c r="G304" s="6" t="n">
        <v>0.108</v>
      </c>
      <c r="H304" s="6" t="n">
        <v>20</v>
      </c>
      <c r="I304" s="6" t="n">
        <v>94.7</v>
      </c>
      <c r="J304" s="6" t="n">
        <v>4.48</v>
      </c>
      <c r="K304" s="6" t="n">
        <v>0</v>
      </c>
      <c r="L304" s="6" t="n">
        <v>4.2</v>
      </c>
      <c r="M304" s="6" t="n">
        <v>844710.67</v>
      </c>
      <c r="N304" s="6" t="n">
        <v>137140.18</v>
      </c>
      <c r="O304" s="8">
        <f>IF(AND(ISNUMBER(L304),ISNUMBER(J304)),0,1)</f>
        <v/>
      </c>
    </row>
    <row r="305">
      <c r="A305" s="2" t="inlineStr">
        <is>
          <t>STR-1080</t>
        </is>
      </c>
      <c r="B305" s="3" t="n">
        <v>45658</v>
      </c>
      <c r="C305" s="2" t="inlineStr">
        <is>
          <t>East</t>
        </is>
      </c>
      <c r="D305" s="2" t="inlineStr">
        <is>
          <t>Residential</t>
        </is>
      </c>
      <c r="E305" s="2" t="n">
        <v>76614.32000000001</v>
      </c>
      <c r="F305" s="2" t="n">
        <v>5639</v>
      </c>
      <c r="G305" s="2" t="n">
        <v>0.174</v>
      </c>
      <c r="H305" s="2" t="n">
        <v>15</v>
      </c>
      <c r="I305" s="2" t="n">
        <v>92.90000000000001</v>
      </c>
      <c r="J305" s="2" t="n">
        <v>1.02</v>
      </c>
      <c r="K305" s="2" t="n">
        <v>1</v>
      </c>
      <c r="L305" s="2" t="n">
        <v>4</v>
      </c>
      <c r="M305" s="2" t="n">
        <v>620264.2</v>
      </c>
      <c r="N305" s="2" t="n">
        <v>91365.64</v>
      </c>
      <c r="O305" s="5">
        <f>IF(AND(ISNUMBER(L305),ISNUMBER(J305)),0,1)</f>
        <v/>
      </c>
    </row>
    <row r="306">
      <c r="A306" s="6" t="inlineStr">
        <is>
          <t>STR-1080</t>
        </is>
      </c>
      <c r="B306" s="7" t="n">
        <v>45689</v>
      </c>
      <c r="C306" s="6" t="inlineStr">
        <is>
          <t>East</t>
        </is>
      </c>
      <c r="D306" s="6" t="inlineStr">
        <is>
          <t>Residential</t>
        </is>
      </c>
      <c r="E306" s="6" t="n">
        <v>24088.06</v>
      </c>
      <c r="F306" s="6" t="n">
        <v>3466</v>
      </c>
      <c r="G306" s="6" t="n">
        <v>0</v>
      </c>
      <c r="H306" s="6" t="n">
        <v>11</v>
      </c>
      <c r="I306" s="6" t="n">
        <v>88</v>
      </c>
      <c r="J306" s="6" t="n">
        <v>0.2</v>
      </c>
      <c r="K306" s="6" t="n">
        <v>0</v>
      </c>
      <c r="L306" s="6" t="n">
        <v>3.8</v>
      </c>
      <c r="M306" s="6" t="n">
        <v>536845.42</v>
      </c>
      <c r="N306" s="6" t="n">
        <v>107473.75</v>
      </c>
      <c r="O306" s="8">
        <f>IF(AND(ISNUMBER(L306),ISNUMBER(J306)),0,1)</f>
        <v/>
      </c>
    </row>
    <row r="307">
      <c r="A307" s="2" t="inlineStr">
        <is>
          <t>STR-1080</t>
        </is>
      </c>
      <c r="B307" s="3" t="n">
        <v>45717</v>
      </c>
      <c r="C307" s="2" t="inlineStr">
        <is>
          <t>East</t>
        </is>
      </c>
      <c r="D307" s="2" t="inlineStr">
        <is>
          <t>Residential</t>
        </is>
      </c>
      <c r="E307" s="2" t="n">
        <v>81902.58</v>
      </c>
      <c r="F307" s="2" t="n">
        <v>7775</v>
      </c>
      <c r="G307" s="2" t="n">
        <v>0.215</v>
      </c>
      <c r="H307" s="2" t="n">
        <v>20</v>
      </c>
      <c r="I307" s="2" t="n">
        <v>85.2</v>
      </c>
      <c r="J307" s="2" t="n">
        <v>4.89</v>
      </c>
      <c r="K307" s="2" t="n">
        <v>1</v>
      </c>
      <c r="L307" s="2" t="n">
        <v>4.2</v>
      </c>
      <c r="M307" s="2" t="n">
        <v>726776.22</v>
      </c>
      <c r="N307" s="2" t="n">
        <v>90804.49000000001</v>
      </c>
      <c r="O307" s="5">
        <f>IF(AND(ISNUMBER(L307),ISNUMBER(J307)),0,1)</f>
        <v/>
      </c>
    </row>
    <row r="308">
      <c r="A308" s="6" t="inlineStr">
        <is>
          <t>STR-1080</t>
        </is>
      </c>
      <c r="B308" s="7" t="n">
        <v>45748</v>
      </c>
      <c r="C308" s="6" t="inlineStr">
        <is>
          <t>East</t>
        </is>
      </c>
      <c r="D308" s="6" t="inlineStr">
        <is>
          <t>Residential</t>
        </is>
      </c>
      <c r="E308" s="6" t="n">
        <v>40553.11</v>
      </c>
      <c r="F308" s="6" t="n">
        <v>5317</v>
      </c>
      <c r="G308" s="6" t="n">
        <v>0.165</v>
      </c>
      <c r="H308" s="6" t="n">
        <v>17</v>
      </c>
      <c r="I308" s="6" t="n">
        <v>84.3</v>
      </c>
      <c r="J308" s="6" t="n">
        <v>11.82</v>
      </c>
      <c r="K308" s="6" t="n">
        <v>0</v>
      </c>
      <c r="L308" s="6" t="n">
        <v>4.1</v>
      </c>
      <c r="M308" s="6" t="n">
        <v>559660.84</v>
      </c>
      <c r="N308" s="6" t="n">
        <v>71443.61</v>
      </c>
      <c r="O308" s="8">
        <f>IF(AND(ISNUMBER(L308),ISNUMBER(J308)),0,1)</f>
        <v/>
      </c>
    </row>
  </sheetData>
  <mergeCells count="1"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is_high_street</t>
        </is>
      </c>
      <c r="F1" s="1" t="inlineStr">
        <is>
          <t>is_airport</t>
        </is>
      </c>
      <c r="G1" s="1" t="inlineStr">
        <is>
          <t>is_mall</t>
        </is>
      </c>
      <c r="H1" s="1" t="inlineStr">
        <is>
          <t>is_north</t>
        </is>
      </c>
      <c r="I1" s="1" t="inlineStr">
        <is>
          <t>is_south</t>
        </is>
      </c>
      <c r="J1" s="1" t="inlineStr">
        <is>
          <t>is_west</t>
        </is>
      </c>
    </row>
    <row r="2" ht="20" customHeight="1">
      <c r="A2" s="4" t="inlineStr">
        <is>
          <t>Dummy variables created using IF formulas. Reference: store_type=Residential | region=East</t>
        </is>
      </c>
    </row>
    <row r="3">
      <c r="A3" s="2" t="inlineStr">
        <is>
          <t>STR-1001</t>
        </is>
      </c>
      <c r="B3" s="3" t="n">
        <v>45658</v>
      </c>
      <c r="C3" s="2" t="inlineStr">
        <is>
          <t>East</t>
        </is>
      </c>
      <c r="D3" s="2" t="inlineStr">
        <is>
          <t>Residential</t>
        </is>
      </c>
      <c r="E3" s="5">
        <f>IF(D3="High Street",1,0)</f>
        <v/>
      </c>
      <c r="F3" s="5">
        <f>IF(D3="Airport",1,0)</f>
        <v/>
      </c>
      <c r="G3" s="5">
        <f>IF(D3="Mall",1,0)</f>
        <v/>
      </c>
      <c r="H3" s="5">
        <f>IF(C3="North",1,0)</f>
        <v/>
      </c>
      <c r="I3" s="5">
        <f>IF(C3="South",1,0)</f>
        <v/>
      </c>
      <c r="J3" s="5">
        <f>IF(C3="West",1,0)</f>
        <v/>
      </c>
    </row>
    <row r="4">
      <c r="A4" s="6" t="inlineStr">
        <is>
          <t>STR-1001</t>
        </is>
      </c>
      <c r="B4" s="7" t="n">
        <v>45689</v>
      </c>
      <c r="C4" s="6" t="inlineStr">
        <is>
          <t>East</t>
        </is>
      </c>
      <c r="D4" s="6" t="inlineStr">
        <is>
          <t>Residential</t>
        </is>
      </c>
      <c r="E4" s="8">
        <f>IF(D4="High Street",1,0)</f>
        <v/>
      </c>
      <c r="F4" s="8">
        <f>IF(D4="Airport",1,0)</f>
        <v/>
      </c>
      <c r="G4" s="8">
        <f>IF(D4="Mall",1,0)</f>
        <v/>
      </c>
      <c r="H4" s="8">
        <f>IF(C4="North",1,0)</f>
        <v/>
      </c>
      <c r="I4" s="8">
        <f>IF(C4="South",1,0)</f>
        <v/>
      </c>
      <c r="J4" s="8">
        <f>IF(C4="West",1,0)</f>
        <v/>
      </c>
    </row>
    <row r="5">
      <c r="A5" s="2" t="inlineStr">
        <is>
          <t>STR-1001</t>
        </is>
      </c>
      <c r="B5" s="3" t="n">
        <v>45717</v>
      </c>
      <c r="C5" s="2" t="inlineStr">
        <is>
          <t>East</t>
        </is>
      </c>
      <c r="D5" s="2" t="inlineStr">
        <is>
          <t>Residential</t>
        </is>
      </c>
      <c r="E5" s="5">
        <f>IF(D5="High Street",1,0)</f>
        <v/>
      </c>
      <c r="F5" s="5">
        <f>IF(D5="Airport",1,0)</f>
        <v/>
      </c>
      <c r="G5" s="5">
        <f>IF(D5="Mall",1,0)</f>
        <v/>
      </c>
      <c r="H5" s="5">
        <f>IF(C5="North",1,0)</f>
        <v/>
      </c>
      <c r="I5" s="5">
        <f>IF(C5="South",1,0)</f>
        <v/>
      </c>
      <c r="J5" s="5">
        <f>IF(C5="West",1,0)</f>
        <v/>
      </c>
    </row>
    <row r="6">
      <c r="A6" s="6" t="inlineStr">
        <is>
          <t>STR-1001</t>
        </is>
      </c>
      <c r="B6" s="7" t="n">
        <v>45748</v>
      </c>
      <c r="C6" s="6" t="inlineStr">
        <is>
          <t>East</t>
        </is>
      </c>
      <c r="D6" s="6" t="inlineStr">
        <is>
          <t>Residential</t>
        </is>
      </c>
      <c r="E6" s="8">
        <f>IF(D6="High Street",1,0)</f>
        <v/>
      </c>
      <c r="F6" s="8">
        <f>IF(D6="Airport",1,0)</f>
        <v/>
      </c>
      <c r="G6" s="8">
        <f>IF(D6="Mall",1,0)</f>
        <v/>
      </c>
      <c r="H6" s="8">
        <f>IF(C6="North",1,0)</f>
        <v/>
      </c>
      <c r="I6" s="8">
        <f>IF(C6="South",1,0)</f>
        <v/>
      </c>
      <c r="J6" s="8">
        <f>IF(C6="West",1,0)</f>
        <v/>
      </c>
    </row>
    <row r="7">
      <c r="A7" s="2" t="inlineStr">
        <is>
          <t>STR-1002</t>
        </is>
      </c>
      <c r="B7" s="3" t="n">
        <v>45658</v>
      </c>
      <c r="C7" s="2" t="inlineStr">
        <is>
          <t>East</t>
        </is>
      </c>
      <c r="D7" s="2" t="inlineStr">
        <is>
          <t>High Street</t>
        </is>
      </c>
      <c r="E7" s="5">
        <f>IF(D7="High Street",1,0)</f>
        <v/>
      </c>
      <c r="F7" s="5">
        <f>IF(D7="Airport",1,0)</f>
        <v/>
      </c>
      <c r="G7" s="5">
        <f>IF(D7="Mall",1,0)</f>
        <v/>
      </c>
      <c r="H7" s="5">
        <f>IF(C7="North",1,0)</f>
        <v/>
      </c>
      <c r="I7" s="5">
        <f>IF(C7="South",1,0)</f>
        <v/>
      </c>
      <c r="J7" s="5">
        <f>IF(C7="West",1,0)</f>
        <v/>
      </c>
    </row>
    <row r="8">
      <c r="A8" s="6" t="inlineStr">
        <is>
          <t>STR-1002</t>
        </is>
      </c>
      <c r="B8" s="7" t="n">
        <v>45689</v>
      </c>
      <c r="C8" s="6" t="inlineStr">
        <is>
          <t>East</t>
        </is>
      </c>
      <c r="D8" s="6" t="inlineStr">
        <is>
          <t>High Street</t>
        </is>
      </c>
      <c r="E8" s="8">
        <f>IF(D8="High Street",1,0)</f>
        <v/>
      </c>
      <c r="F8" s="8">
        <f>IF(D8="Airport",1,0)</f>
        <v/>
      </c>
      <c r="G8" s="8">
        <f>IF(D8="Mall",1,0)</f>
        <v/>
      </c>
      <c r="H8" s="8">
        <f>IF(C8="North",1,0)</f>
        <v/>
      </c>
      <c r="I8" s="8">
        <f>IF(C8="South",1,0)</f>
        <v/>
      </c>
      <c r="J8" s="8">
        <f>IF(C8="West",1,0)</f>
        <v/>
      </c>
    </row>
    <row r="9">
      <c r="A9" s="2" t="inlineStr">
        <is>
          <t>STR-1002</t>
        </is>
      </c>
      <c r="B9" s="3" t="n">
        <v>45717</v>
      </c>
      <c r="C9" s="2" t="inlineStr">
        <is>
          <t>East</t>
        </is>
      </c>
      <c r="D9" s="2" t="inlineStr">
        <is>
          <t>High Street</t>
        </is>
      </c>
      <c r="E9" s="5">
        <f>IF(D9="High Street",1,0)</f>
        <v/>
      </c>
      <c r="F9" s="5">
        <f>IF(D9="Airport",1,0)</f>
        <v/>
      </c>
      <c r="G9" s="5">
        <f>IF(D9="Mall",1,0)</f>
        <v/>
      </c>
      <c r="H9" s="5">
        <f>IF(C9="North",1,0)</f>
        <v/>
      </c>
      <c r="I9" s="5">
        <f>IF(C9="South",1,0)</f>
        <v/>
      </c>
      <c r="J9" s="5">
        <f>IF(C9="West",1,0)</f>
        <v/>
      </c>
    </row>
    <row r="10">
      <c r="A10" s="6" t="inlineStr">
        <is>
          <t>STR-1002</t>
        </is>
      </c>
      <c r="B10" s="7" t="n">
        <v>45748</v>
      </c>
      <c r="C10" s="6" t="inlineStr">
        <is>
          <t>East</t>
        </is>
      </c>
      <c r="D10" s="6" t="inlineStr">
        <is>
          <t>High Street</t>
        </is>
      </c>
      <c r="E10" s="8">
        <f>IF(D10="High Street",1,0)</f>
        <v/>
      </c>
      <c r="F10" s="8">
        <f>IF(D10="Airport",1,0)</f>
        <v/>
      </c>
      <c r="G10" s="8">
        <f>IF(D10="Mall",1,0)</f>
        <v/>
      </c>
      <c r="H10" s="8">
        <f>IF(C10="North",1,0)</f>
        <v/>
      </c>
      <c r="I10" s="8">
        <f>IF(C10="South",1,0)</f>
        <v/>
      </c>
      <c r="J10" s="8">
        <f>IF(C10="West",1,0)</f>
        <v/>
      </c>
    </row>
    <row r="11">
      <c r="A11" s="2" t="inlineStr">
        <is>
          <t>STR-1003</t>
        </is>
      </c>
      <c r="B11" s="3" t="n">
        <v>45658</v>
      </c>
      <c r="C11" s="2" t="inlineStr">
        <is>
          <t>North</t>
        </is>
      </c>
      <c r="D11" s="2" t="inlineStr">
        <is>
          <t>Airport</t>
        </is>
      </c>
      <c r="E11" s="5">
        <f>IF(D11="High Street",1,0)</f>
        <v/>
      </c>
      <c r="F11" s="5">
        <f>IF(D11="Airport",1,0)</f>
        <v/>
      </c>
      <c r="G11" s="5">
        <f>IF(D11="Mall",1,0)</f>
        <v/>
      </c>
      <c r="H11" s="5">
        <f>IF(C11="North",1,0)</f>
        <v/>
      </c>
      <c r="I11" s="5">
        <f>IF(C11="South",1,0)</f>
        <v/>
      </c>
      <c r="J11" s="5">
        <f>IF(C11="West",1,0)</f>
        <v/>
      </c>
    </row>
    <row r="12">
      <c r="A12" s="6" t="inlineStr">
        <is>
          <t>STR-1003</t>
        </is>
      </c>
      <c r="B12" s="7" t="n">
        <v>45689</v>
      </c>
      <c r="C12" s="6" t="inlineStr">
        <is>
          <t>North</t>
        </is>
      </c>
      <c r="D12" s="6" t="inlineStr">
        <is>
          <t>Airport</t>
        </is>
      </c>
      <c r="E12" s="8">
        <f>IF(D12="High Street",1,0)</f>
        <v/>
      </c>
      <c r="F12" s="8">
        <f>IF(D12="Airport",1,0)</f>
        <v/>
      </c>
      <c r="G12" s="8">
        <f>IF(D12="Mall",1,0)</f>
        <v/>
      </c>
      <c r="H12" s="8">
        <f>IF(C12="North",1,0)</f>
        <v/>
      </c>
      <c r="I12" s="8">
        <f>IF(C12="South",1,0)</f>
        <v/>
      </c>
      <c r="J12" s="8">
        <f>IF(C12="West",1,0)</f>
        <v/>
      </c>
    </row>
    <row r="13">
      <c r="A13" s="2" t="inlineStr">
        <is>
          <t>STR-1003</t>
        </is>
      </c>
      <c r="B13" s="3" t="n">
        <v>45717</v>
      </c>
      <c r="C13" s="2" t="inlineStr">
        <is>
          <t>North</t>
        </is>
      </c>
      <c r="D13" s="2" t="inlineStr">
        <is>
          <t>Airport</t>
        </is>
      </c>
      <c r="E13" s="5">
        <f>IF(D13="High Street",1,0)</f>
        <v/>
      </c>
      <c r="F13" s="5">
        <f>IF(D13="Airport",1,0)</f>
        <v/>
      </c>
      <c r="G13" s="5">
        <f>IF(D13="Mall",1,0)</f>
        <v/>
      </c>
      <c r="H13" s="5">
        <f>IF(C13="North",1,0)</f>
        <v/>
      </c>
      <c r="I13" s="5">
        <f>IF(C13="South",1,0)</f>
        <v/>
      </c>
      <c r="J13" s="5">
        <f>IF(C13="West",1,0)</f>
        <v/>
      </c>
    </row>
    <row r="14">
      <c r="A14" s="6" t="inlineStr">
        <is>
          <t>STR-1003</t>
        </is>
      </c>
      <c r="B14" s="7" t="n">
        <v>45748</v>
      </c>
      <c r="C14" s="6" t="inlineStr">
        <is>
          <t>North</t>
        </is>
      </c>
      <c r="D14" s="6" t="inlineStr">
        <is>
          <t>Airport</t>
        </is>
      </c>
      <c r="E14" s="8">
        <f>IF(D14="High Street",1,0)</f>
        <v/>
      </c>
      <c r="F14" s="8">
        <f>IF(D14="Airport",1,0)</f>
        <v/>
      </c>
      <c r="G14" s="8">
        <f>IF(D14="Mall",1,0)</f>
        <v/>
      </c>
      <c r="H14" s="8">
        <f>IF(C14="North",1,0)</f>
        <v/>
      </c>
      <c r="I14" s="8">
        <f>IF(C14="South",1,0)</f>
        <v/>
      </c>
      <c r="J14" s="8">
        <f>IF(C14="West",1,0)</f>
        <v/>
      </c>
    </row>
    <row r="15">
      <c r="A15" s="2" t="inlineStr">
        <is>
          <t>STR-1004</t>
        </is>
      </c>
      <c r="B15" s="3" t="n">
        <v>45658</v>
      </c>
      <c r="C15" s="2" t="inlineStr">
        <is>
          <t>East</t>
        </is>
      </c>
      <c r="D15" s="2" t="inlineStr">
        <is>
          <t>Residential</t>
        </is>
      </c>
      <c r="E15" s="5">
        <f>IF(D15="High Street",1,0)</f>
        <v/>
      </c>
      <c r="F15" s="5">
        <f>IF(D15="Airport",1,0)</f>
        <v/>
      </c>
      <c r="G15" s="5">
        <f>IF(D15="Mall",1,0)</f>
        <v/>
      </c>
      <c r="H15" s="5">
        <f>IF(C15="North",1,0)</f>
        <v/>
      </c>
      <c r="I15" s="5">
        <f>IF(C15="South",1,0)</f>
        <v/>
      </c>
      <c r="J15" s="5">
        <f>IF(C15="West",1,0)</f>
        <v/>
      </c>
    </row>
    <row r="16">
      <c r="A16" s="6" t="inlineStr">
        <is>
          <t>STR-1004</t>
        </is>
      </c>
      <c r="B16" s="7" t="n">
        <v>45689</v>
      </c>
      <c r="C16" s="6" t="inlineStr">
        <is>
          <t>East</t>
        </is>
      </c>
      <c r="D16" s="6" t="inlineStr">
        <is>
          <t>Residential</t>
        </is>
      </c>
      <c r="E16" s="8">
        <f>IF(D16="High Street",1,0)</f>
        <v/>
      </c>
      <c r="F16" s="8">
        <f>IF(D16="Airport",1,0)</f>
        <v/>
      </c>
      <c r="G16" s="8">
        <f>IF(D16="Mall",1,0)</f>
        <v/>
      </c>
      <c r="H16" s="8">
        <f>IF(C16="North",1,0)</f>
        <v/>
      </c>
      <c r="I16" s="8">
        <f>IF(C16="South",1,0)</f>
        <v/>
      </c>
      <c r="J16" s="8">
        <f>IF(C16="West",1,0)</f>
        <v/>
      </c>
    </row>
    <row r="17">
      <c r="A17" s="2" t="inlineStr">
        <is>
          <t>STR-1004</t>
        </is>
      </c>
      <c r="B17" s="3" t="n">
        <v>45717</v>
      </c>
      <c r="C17" s="2" t="inlineStr">
        <is>
          <t>East</t>
        </is>
      </c>
      <c r="D17" s="2" t="inlineStr">
        <is>
          <t>Residential</t>
        </is>
      </c>
      <c r="E17" s="5">
        <f>IF(D17="High Street",1,0)</f>
        <v/>
      </c>
      <c r="F17" s="5">
        <f>IF(D17="Airport",1,0)</f>
        <v/>
      </c>
      <c r="G17" s="5">
        <f>IF(D17="Mall",1,0)</f>
        <v/>
      </c>
      <c r="H17" s="5">
        <f>IF(C17="North",1,0)</f>
        <v/>
      </c>
      <c r="I17" s="5">
        <f>IF(C17="South",1,0)</f>
        <v/>
      </c>
      <c r="J17" s="5">
        <f>IF(C17="West",1,0)</f>
        <v/>
      </c>
    </row>
    <row r="18">
      <c r="A18" s="6" t="inlineStr">
        <is>
          <t>STR-1004</t>
        </is>
      </c>
      <c r="B18" s="7" t="n">
        <v>45748</v>
      </c>
      <c r="C18" s="6" t="inlineStr">
        <is>
          <t>East</t>
        </is>
      </c>
      <c r="D18" s="6" t="inlineStr">
        <is>
          <t>Residential</t>
        </is>
      </c>
      <c r="E18" s="8">
        <f>IF(D18="High Street",1,0)</f>
        <v/>
      </c>
      <c r="F18" s="8">
        <f>IF(D18="Airport",1,0)</f>
        <v/>
      </c>
      <c r="G18" s="8">
        <f>IF(D18="Mall",1,0)</f>
        <v/>
      </c>
      <c r="H18" s="8">
        <f>IF(C18="North",1,0)</f>
        <v/>
      </c>
      <c r="I18" s="8">
        <f>IF(C18="South",1,0)</f>
        <v/>
      </c>
      <c r="J18" s="8">
        <f>IF(C18="West",1,0)</f>
        <v/>
      </c>
    </row>
    <row r="19">
      <c r="A19" s="2" t="inlineStr">
        <is>
          <t>STR-1005</t>
        </is>
      </c>
      <c r="B19" s="3" t="n">
        <v>45658</v>
      </c>
      <c r="C19" s="2" t="inlineStr">
        <is>
          <t>South</t>
        </is>
      </c>
      <c r="D19" s="2" t="inlineStr">
        <is>
          <t>Residential</t>
        </is>
      </c>
      <c r="E19" s="5">
        <f>IF(D19="High Street",1,0)</f>
        <v/>
      </c>
      <c r="F19" s="5">
        <f>IF(D19="Airport",1,0)</f>
        <v/>
      </c>
      <c r="G19" s="5">
        <f>IF(D19="Mall",1,0)</f>
        <v/>
      </c>
      <c r="H19" s="5">
        <f>IF(C19="North",1,0)</f>
        <v/>
      </c>
      <c r="I19" s="5">
        <f>IF(C19="South",1,0)</f>
        <v/>
      </c>
      <c r="J19" s="5">
        <f>IF(C19="West",1,0)</f>
        <v/>
      </c>
    </row>
    <row r="20">
      <c r="A20" s="6" t="inlineStr">
        <is>
          <t>STR-1005</t>
        </is>
      </c>
      <c r="B20" s="7" t="n">
        <v>45689</v>
      </c>
      <c r="C20" s="6" t="inlineStr">
        <is>
          <t>South</t>
        </is>
      </c>
      <c r="D20" s="6" t="inlineStr">
        <is>
          <t>Residential</t>
        </is>
      </c>
      <c r="E20" s="8">
        <f>IF(D20="High Street",1,0)</f>
        <v/>
      </c>
      <c r="F20" s="8">
        <f>IF(D20="Airport",1,0)</f>
        <v/>
      </c>
      <c r="G20" s="8">
        <f>IF(D20="Mall",1,0)</f>
        <v/>
      </c>
      <c r="H20" s="8">
        <f>IF(C20="North",1,0)</f>
        <v/>
      </c>
      <c r="I20" s="8">
        <f>IF(C20="South",1,0)</f>
        <v/>
      </c>
      <c r="J20" s="8">
        <f>IF(C20="West",1,0)</f>
        <v/>
      </c>
    </row>
    <row r="21">
      <c r="A21" s="2" t="inlineStr">
        <is>
          <t>STR-1005</t>
        </is>
      </c>
      <c r="B21" s="3" t="n">
        <v>45717</v>
      </c>
      <c r="C21" s="2" t="inlineStr">
        <is>
          <t>South</t>
        </is>
      </c>
      <c r="D21" s="2" t="inlineStr">
        <is>
          <t>Residential</t>
        </is>
      </c>
      <c r="E21" s="5">
        <f>IF(D21="High Street",1,0)</f>
        <v/>
      </c>
      <c r="F21" s="5">
        <f>IF(D21="Airport",1,0)</f>
        <v/>
      </c>
      <c r="G21" s="5">
        <f>IF(D21="Mall",1,0)</f>
        <v/>
      </c>
      <c r="H21" s="5">
        <f>IF(C21="North",1,0)</f>
        <v/>
      </c>
      <c r="I21" s="5">
        <f>IF(C21="South",1,0)</f>
        <v/>
      </c>
      <c r="J21" s="5">
        <f>IF(C21="West",1,0)</f>
        <v/>
      </c>
    </row>
    <row r="22">
      <c r="A22" s="6" t="inlineStr">
        <is>
          <t>STR-1005</t>
        </is>
      </c>
      <c r="B22" s="7" t="n">
        <v>45748</v>
      </c>
      <c r="C22" s="6" t="inlineStr">
        <is>
          <t>South</t>
        </is>
      </c>
      <c r="D22" s="6" t="inlineStr">
        <is>
          <t>Residential</t>
        </is>
      </c>
      <c r="E22" s="8">
        <f>IF(D22="High Street",1,0)</f>
        <v/>
      </c>
      <c r="F22" s="8">
        <f>IF(D22="Airport",1,0)</f>
        <v/>
      </c>
      <c r="G22" s="8">
        <f>IF(D22="Mall",1,0)</f>
        <v/>
      </c>
      <c r="H22" s="8">
        <f>IF(C22="North",1,0)</f>
        <v/>
      </c>
      <c r="I22" s="8">
        <f>IF(C22="South",1,0)</f>
        <v/>
      </c>
      <c r="J22" s="8">
        <f>IF(C22="West",1,0)</f>
        <v/>
      </c>
    </row>
    <row r="23">
      <c r="A23" s="2" t="inlineStr">
        <is>
          <t>STR-1006</t>
        </is>
      </c>
      <c r="B23" s="3" t="n">
        <v>45658</v>
      </c>
      <c r="C23" s="2" t="inlineStr">
        <is>
          <t>North</t>
        </is>
      </c>
      <c r="D23" s="2" t="inlineStr">
        <is>
          <t>Residential</t>
        </is>
      </c>
      <c r="E23" s="5">
        <f>IF(D23="High Street",1,0)</f>
        <v/>
      </c>
      <c r="F23" s="5">
        <f>IF(D23="Airport",1,0)</f>
        <v/>
      </c>
      <c r="G23" s="5">
        <f>IF(D23="Mall",1,0)</f>
        <v/>
      </c>
      <c r="H23" s="5">
        <f>IF(C23="North",1,0)</f>
        <v/>
      </c>
      <c r="I23" s="5">
        <f>IF(C23="South",1,0)</f>
        <v/>
      </c>
      <c r="J23" s="5">
        <f>IF(C23="West",1,0)</f>
        <v/>
      </c>
    </row>
    <row r="24">
      <c r="A24" s="6" t="inlineStr">
        <is>
          <t>STR-1006</t>
        </is>
      </c>
      <c r="B24" s="7" t="n">
        <v>45689</v>
      </c>
      <c r="C24" s="6" t="inlineStr">
        <is>
          <t>North</t>
        </is>
      </c>
      <c r="D24" s="6" t="inlineStr">
        <is>
          <t>Residential</t>
        </is>
      </c>
      <c r="E24" s="8">
        <f>IF(D24="High Street",1,0)</f>
        <v/>
      </c>
      <c r="F24" s="8">
        <f>IF(D24="Airport",1,0)</f>
        <v/>
      </c>
      <c r="G24" s="8">
        <f>IF(D24="Mall",1,0)</f>
        <v/>
      </c>
      <c r="H24" s="8">
        <f>IF(C24="North",1,0)</f>
        <v/>
      </c>
      <c r="I24" s="8">
        <f>IF(C24="South",1,0)</f>
        <v/>
      </c>
      <c r="J24" s="8">
        <f>IF(C24="West",1,0)</f>
        <v/>
      </c>
    </row>
    <row r="25">
      <c r="A25" s="2" t="inlineStr">
        <is>
          <t>STR-1006</t>
        </is>
      </c>
      <c r="B25" s="3" t="n">
        <v>45717</v>
      </c>
      <c r="C25" s="2" t="inlineStr">
        <is>
          <t>North</t>
        </is>
      </c>
      <c r="D25" s="2" t="inlineStr">
        <is>
          <t>Residential</t>
        </is>
      </c>
      <c r="E25" s="5">
        <f>IF(D25="High Street",1,0)</f>
        <v/>
      </c>
      <c r="F25" s="5">
        <f>IF(D25="Airport",1,0)</f>
        <v/>
      </c>
      <c r="G25" s="5">
        <f>IF(D25="Mall",1,0)</f>
        <v/>
      </c>
      <c r="H25" s="5">
        <f>IF(C25="North",1,0)</f>
        <v/>
      </c>
      <c r="I25" s="5">
        <f>IF(C25="South",1,0)</f>
        <v/>
      </c>
      <c r="J25" s="5">
        <f>IF(C25="West",1,0)</f>
        <v/>
      </c>
    </row>
    <row r="26">
      <c r="A26" s="6" t="inlineStr">
        <is>
          <t>STR-1006</t>
        </is>
      </c>
      <c r="B26" s="7" t="n">
        <v>45748</v>
      </c>
      <c r="C26" s="6" t="inlineStr">
        <is>
          <t>North</t>
        </is>
      </c>
      <c r="D26" s="6" t="inlineStr">
        <is>
          <t>Residential</t>
        </is>
      </c>
      <c r="E26" s="8">
        <f>IF(D26="High Street",1,0)</f>
        <v/>
      </c>
      <c r="F26" s="8">
        <f>IF(D26="Airport",1,0)</f>
        <v/>
      </c>
      <c r="G26" s="8">
        <f>IF(D26="Mall",1,0)</f>
        <v/>
      </c>
      <c r="H26" s="8">
        <f>IF(C26="North",1,0)</f>
        <v/>
      </c>
      <c r="I26" s="8">
        <f>IF(C26="South",1,0)</f>
        <v/>
      </c>
      <c r="J26" s="8">
        <f>IF(C26="West",1,0)</f>
        <v/>
      </c>
    </row>
    <row r="27">
      <c r="A27" s="2" t="inlineStr">
        <is>
          <t>STR-1007</t>
        </is>
      </c>
      <c r="B27" s="3" t="n">
        <v>45658</v>
      </c>
      <c r="C27" s="2" t="inlineStr">
        <is>
          <t>West</t>
        </is>
      </c>
      <c r="D27" s="2" t="inlineStr">
        <is>
          <t>Mall</t>
        </is>
      </c>
      <c r="E27" s="5">
        <f>IF(D27="High Street",1,0)</f>
        <v/>
      </c>
      <c r="F27" s="5">
        <f>IF(D27="Airport",1,0)</f>
        <v/>
      </c>
      <c r="G27" s="5">
        <f>IF(D27="Mall",1,0)</f>
        <v/>
      </c>
      <c r="H27" s="5">
        <f>IF(C27="North",1,0)</f>
        <v/>
      </c>
      <c r="I27" s="5">
        <f>IF(C27="South",1,0)</f>
        <v/>
      </c>
      <c r="J27" s="5">
        <f>IF(C27="West",1,0)</f>
        <v/>
      </c>
    </row>
    <row r="28">
      <c r="A28" s="6" t="inlineStr">
        <is>
          <t>STR-1007</t>
        </is>
      </c>
      <c r="B28" s="7" t="n">
        <v>45689</v>
      </c>
      <c r="C28" s="6" t="inlineStr">
        <is>
          <t>West</t>
        </is>
      </c>
      <c r="D28" s="6" t="inlineStr">
        <is>
          <t>Mall</t>
        </is>
      </c>
      <c r="E28" s="8">
        <f>IF(D28="High Street",1,0)</f>
        <v/>
      </c>
      <c r="F28" s="8">
        <f>IF(D28="Airport",1,0)</f>
        <v/>
      </c>
      <c r="G28" s="8">
        <f>IF(D28="Mall",1,0)</f>
        <v/>
      </c>
      <c r="H28" s="8">
        <f>IF(C28="North",1,0)</f>
        <v/>
      </c>
      <c r="I28" s="8">
        <f>IF(C28="South",1,0)</f>
        <v/>
      </c>
      <c r="J28" s="8">
        <f>IF(C28="West",1,0)</f>
        <v/>
      </c>
    </row>
    <row r="29">
      <c r="A29" s="2" t="inlineStr">
        <is>
          <t>STR-1007</t>
        </is>
      </c>
      <c r="B29" s="3" t="n">
        <v>45717</v>
      </c>
      <c r="C29" s="2" t="inlineStr">
        <is>
          <t>West</t>
        </is>
      </c>
      <c r="D29" s="2" t="inlineStr">
        <is>
          <t>Mall</t>
        </is>
      </c>
      <c r="E29" s="5">
        <f>IF(D29="High Street",1,0)</f>
        <v/>
      </c>
      <c r="F29" s="5">
        <f>IF(D29="Airport",1,0)</f>
        <v/>
      </c>
      <c r="G29" s="5">
        <f>IF(D29="Mall",1,0)</f>
        <v/>
      </c>
      <c r="H29" s="5">
        <f>IF(C29="North",1,0)</f>
        <v/>
      </c>
      <c r="I29" s="5">
        <f>IF(C29="South",1,0)</f>
        <v/>
      </c>
      <c r="J29" s="5">
        <f>IF(C29="West",1,0)</f>
        <v/>
      </c>
    </row>
    <row r="30">
      <c r="A30" s="6" t="inlineStr">
        <is>
          <t>STR-1007</t>
        </is>
      </c>
      <c r="B30" s="7" t="n">
        <v>45748</v>
      </c>
      <c r="C30" s="6" t="inlineStr">
        <is>
          <t>West</t>
        </is>
      </c>
      <c r="D30" s="6" t="inlineStr">
        <is>
          <t>Mall</t>
        </is>
      </c>
      <c r="E30" s="8">
        <f>IF(D30="High Street",1,0)</f>
        <v/>
      </c>
      <c r="F30" s="8">
        <f>IF(D30="Airport",1,0)</f>
        <v/>
      </c>
      <c r="G30" s="8">
        <f>IF(D30="Mall",1,0)</f>
        <v/>
      </c>
      <c r="H30" s="8">
        <f>IF(C30="North",1,0)</f>
        <v/>
      </c>
      <c r="I30" s="8">
        <f>IF(C30="South",1,0)</f>
        <v/>
      </c>
      <c r="J30" s="8">
        <f>IF(C30="West",1,0)</f>
        <v/>
      </c>
    </row>
    <row r="31">
      <c r="A31" s="2" t="inlineStr">
        <is>
          <t>STR-1008</t>
        </is>
      </c>
      <c r="B31" s="3" t="n">
        <v>45658</v>
      </c>
      <c r="C31" s="2" t="inlineStr">
        <is>
          <t>East</t>
        </is>
      </c>
      <c r="D31" s="2" t="inlineStr">
        <is>
          <t>Residential</t>
        </is>
      </c>
      <c r="E31" s="5">
        <f>IF(D31="High Street",1,0)</f>
        <v/>
      </c>
      <c r="F31" s="5">
        <f>IF(D31="Airport",1,0)</f>
        <v/>
      </c>
      <c r="G31" s="5">
        <f>IF(D31="Mall",1,0)</f>
        <v/>
      </c>
      <c r="H31" s="5">
        <f>IF(C31="North",1,0)</f>
        <v/>
      </c>
      <c r="I31" s="5">
        <f>IF(C31="South",1,0)</f>
        <v/>
      </c>
      <c r="J31" s="5">
        <f>IF(C31="West",1,0)</f>
        <v/>
      </c>
    </row>
    <row r="32">
      <c r="A32" s="6" t="inlineStr">
        <is>
          <t>STR-1008</t>
        </is>
      </c>
      <c r="B32" s="7" t="n">
        <v>45689</v>
      </c>
      <c r="C32" s="6" t="inlineStr">
        <is>
          <t>East</t>
        </is>
      </c>
      <c r="D32" s="6" t="inlineStr">
        <is>
          <t>Residential</t>
        </is>
      </c>
      <c r="E32" s="8">
        <f>IF(D32="High Street",1,0)</f>
        <v/>
      </c>
      <c r="F32" s="8">
        <f>IF(D32="Airport",1,0)</f>
        <v/>
      </c>
      <c r="G32" s="8">
        <f>IF(D32="Mall",1,0)</f>
        <v/>
      </c>
      <c r="H32" s="8">
        <f>IF(C32="North",1,0)</f>
        <v/>
      </c>
      <c r="I32" s="8">
        <f>IF(C32="South",1,0)</f>
        <v/>
      </c>
      <c r="J32" s="8">
        <f>IF(C32="West",1,0)</f>
        <v/>
      </c>
    </row>
    <row r="33">
      <c r="A33" s="2" t="inlineStr">
        <is>
          <t>STR-1008</t>
        </is>
      </c>
      <c r="B33" s="3" t="n">
        <v>45717</v>
      </c>
      <c r="C33" s="2" t="inlineStr">
        <is>
          <t>East</t>
        </is>
      </c>
      <c r="D33" s="2" t="inlineStr">
        <is>
          <t>Residential</t>
        </is>
      </c>
      <c r="E33" s="5">
        <f>IF(D33="High Street",1,0)</f>
        <v/>
      </c>
      <c r="F33" s="5">
        <f>IF(D33="Airport",1,0)</f>
        <v/>
      </c>
      <c r="G33" s="5">
        <f>IF(D33="Mall",1,0)</f>
        <v/>
      </c>
      <c r="H33" s="5">
        <f>IF(C33="North",1,0)</f>
        <v/>
      </c>
      <c r="I33" s="5">
        <f>IF(C33="South",1,0)</f>
        <v/>
      </c>
      <c r="J33" s="5">
        <f>IF(C33="West",1,0)</f>
        <v/>
      </c>
    </row>
    <row r="34">
      <c r="A34" s="6" t="inlineStr">
        <is>
          <t>STR-1008</t>
        </is>
      </c>
      <c r="B34" s="7" t="n">
        <v>45748</v>
      </c>
      <c r="C34" s="6" t="inlineStr">
        <is>
          <t>East</t>
        </is>
      </c>
      <c r="D34" s="6" t="inlineStr">
        <is>
          <t>Residential</t>
        </is>
      </c>
      <c r="E34" s="8">
        <f>IF(D34="High Street",1,0)</f>
        <v/>
      </c>
      <c r="F34" s="8">
        <f>IF(D34="Airport",1,0)</f>
        <v/>
      </c>
      <c r="G34" s="8">
        <f>IF(D34="Mall",1,0)</f>
        <v/>
      </c>
      <c r="H34" s="8">
        <f>IF(C34="North",1,0)</f>
        <v/>
      </c>
      <c r="I34" s="8">
        <f>IF(C34="South",1,0)</f>
        <v/>
      </c>
      <c r="J34" s="8">
        <f>IF(C34="West",1,0)</f>
        <v/>
      </c>
    </row>
    <row r="35">
      <c r="A35" s="2" t="inlineStr">
        <is>
          <t>STR-1009</t>
        </is>
      </c>
      <c r="B35" s="3" t="n">
        <v>45658</v>
      </c>
      <c r="C35" s="2" t="inlineStr">
        <is>
          <t>North</t>
        </is>
      </c>
      <c r="D35" s="2" t="inlineStr">
        <is>
          <t>Residential</t>
        </is>
      </c>
      <c r="E35" s="5">
        <f>IF(D35="High Street",1,0)</f>
        <v/>
      </c>
      <c r="F35" s="5">
        <f>IF(D35="Airport",1,0)</f>
        <v/>
      </c>
      <c r="G35" s="5">
        <f>IF(D35="Mall",1,0)</f>
        <v/>
      </c>
      <c r="H35" s="5">
        <f>IF(C35="North",1,0)</f>
        <v/>
      </c>
      <c r="I35" s="5">
        <f>IF(C35="South",1,0)</f>
        <v/>
      </c>
      <c r="J35" s="5">
        <f>IF(C35="West",1,0)</f>
        <v/>
      </c>
    </row>
    <row r="36">
      <c r="A36" s="6" t="inlineStr">
        <is>
          <t>STR-1009</t>
        </is>
      </c>
      <c r="B36" s="7" t="n">
        <v>45717</v>
      </c>
      <c r="C36" s="6" t="inlineStr">
        <is>
          <t>North</t>
        </is>
      </c>
      <c r="D36" s="6" t="inlineStr">
        <is>
          <t>Residential</t>
        </is>
      </c>
      <c r="E36" s="8">
        <f>IF(D36="High Street",1,0)</f>
        <v/>
      </c>
      <c r="F36" s="8">
        <f>IF(D36="Airport",1,0)</f>
        <v/>
      </c>
      <c r="G36" s="8">
        <f>IF(D36="Mall",1,0)</f>
        <v/>
      </c>
      <c r="H36" s="8">
        <f>IF(C36="North",1,0)</f>
        <v/>
      </c>
      <c r="I36" s="8">
        <f>IF(C36="South",1,0)</f>
        <v/>
      </c>
      <c r="J36" s="8">
        <f>IF(C36="West",1,0)</f>
        <v/>
      </c>
    </row>
    <row r="37">
      <c r="A37" s="2" t="inlineStr">
        <is>
          <t>STR-1009</t>
        </is>
      </c>
      <c r="B37" s="3" t="n">
        <v>45748</v>
      </c>
      <c r="C37" s="2" t="inlineStr">
        <is>
          <t>North</t>
        </is>
      </c>
      <c r="D37" s="2" t="inlineStr">
        <is>
          <t>Residential</t>
        </is>
      </c>
      <c r="E37" s="5">
        <f>IF(D37="High Street",1,0)</f>
        <v/>
      </c>
      <c r="F37" s="5">
        <f>IF(D37="Airport",1,0)</f>
        <v/>
      </c>
      <c r="G37" s="5">
        <f>IF(D37="Mall",1,0)</f>
        <v/>
      </c>
      <c r="H37" s="5">
        <f>IF(C37="North",1,0)</f>
        <v/>
      </c>
      <c r="I37" s="5">
        <f>IF(C37="South",1,0)</f>
        <v/>
      </c>
      <c r="J37" s="5">
        <f>IF(C37="West",1,0)</f>
        <v/>
      </c>
    </row>
    <row r="38">
      <c r="A38" s="6" t="inlineStr">
        <is>
          <t>STR-1010</t>
        </is>
      </c>
      <c r="B38" s="7" t="n">
        <v>45658</v>
      </c>
      <c r="C38" s="6" t="inlineStr">
        <is>
          <t>North</t>
        </is>
      </c>
      <c r="D38" s="6" t="inlineStr">
        <is>
          <t>Mall</t>
        </is>
      </c>
      <c r="E38" s="8">
        <f>IF(D38="High Street",1,0)</f>
        <v/>
      </c>
      <c r="F38" s="8">
        <f>IF(D38="Airport",1,0)</f>
        <v/>
      </c>
      <c r="G38" s="8">
        <f>IF(D38="Mall",1,0)</f>
        <v/>
      </c>
      <c r="H38" s="8">
        <f>IF(C38="North",1,0)</f>
        <v/>
      </c>
      <c r="I38" s="8">
        <f>IF(C38="South",1,0)</f>
        <v/>
      </c>
      <c r="J38" s="8">
        <f>IF(C38="West",1,0)</f>
        <v/>
      </c>
    </row>
    <row r="39">
      <c r="A39" s="2" t="inlineStr">
        <is>
          <t>STR-1010</t>
        </is>
      </c>
      <c r="B39" s="3" t="n">
        <v>45689</v>
      </c>
      <c r="C39" s="2" t="inlineStr">
        <is>
          <t>North</t>
        </is>
      </c>
      <c r="D39" s="2" t="inlineStr">
        <is>
          <t>Mall</t>
        </is>
      </c>
      <c r="E39" s="5">
        <f>IF(D39="High Street",1,0)</f>
        <v/>
      </c>
      <c r="F39" s="5">
        <f>IF(D39="Airport",1,0)</f>
        <v/>
      </c>
      <c r="G39" s="5">
        <f>IF(D39="Mall",1,0)</f>
        <v/>
      </c>
      <c r="H39" s="5">
        <f>IF(C39="North",1,0)</f>
        <v/>
      </c>
      <c r="I39" s="5">
        <f>IF(C39="South",1,0)</f>
        <v/>
      </c>
      <c r="J39" s="5">
        <f>IF(C39="West",1,0)</f>
        <v/>
      </c>
    </row>
    <row r="40">
      <c r="A40" s="6" t="inlineStr">
        <is>
          <t>STR-1010</t>
        </is>
      </c>
      <c r="B40" s="7" t="n">
        <v>45717</v>
      </c>
      <c r="C40" s="6" t="inlineStr">
        <is>
          <t>North</t>
        </is>
      </c>
      <c r="D40" s="6" t="inlineStr">
        <is>
          <t>Mall</t>
        </is>
      </c>
      <c r="E40" s="8">
        <f>IF(D40="High Street",1,0)</f>
        <v/>
      </c>
      <c r="F40" s="8">
        <f>IF(D40="Airport",1,0)</f>
        <v/>
      </c>
      <c r="G40" s="8">
        <f>IF(D40="Mall",1,0)</f>
        <v/>
      </c>
      <c r="H40" s="8">
        <f>IF(C40="North",1,0)</f>
        <v/>
      </c>
      <c r="I40" s="8">
        <f>IF(C40="South",1,0)</f>
        <v/>
      </c>
      <c r="J40" s="8">
        <f>IF(C40="West",1,0)</f>
        <v/>
      </c>
    </row>
    <row r="41">
      <c r="A41" s="2" t="inlineStr">
        <is>
          <t>STR-1010</t>
        </is>
      </c>
      <c r="B41" s="3" t="n">
        <v>45748</v>
      </c>
      <c r="C41" s="2" t="inlineStr">
        <is>
          <t>North</t>
        </is>
      </c>
      <c r="D41" s="2" t="inlineStr">
        <is>
          <t>Mall</t>
        </is>
      </c>
      <c r="E41" s="5">
        <f>IF(D41="High Street",1,0)</f>
        <v/>
      </c>
      <c r="F41" s="5">
        <f>IF(D41="Airport",1,0)</f>
        <v/>
      </c>
      <c r="G41" s="5">
        <f>IF(D41="Mall",1,0)</f>
        <v/>
      </c>
      <c r="H41" s="5">
        <f>IF(C41="North",1,0)</f>
        <v/>
      </c>
      <c r="I41" s="5">
        <f>IF(C41="South",1,0)</f>
        <v/>
      </c>
      <c r="J41" s="5">
        <f>IF(C41="West",1,0)</f>
        <v/>
      </c>
    </row>
    <row r="42">
      <c r="A42" s="6" t="inlineStr">
        <is>
          <t>STR-1011</t>
        </is>
      </c>
      <c r="B42" s="7" t="n">
        <v>45658</v>
      </c>
      <c r="C42" s="6" t="inlineStr">
        <is>
          <t>East</t>
        </is>
      </c>
      <c r="D42" s="6" t="inlineStr">
        <is>
          <t>Mall</t>
        </is>
      </c>
      <c r="E42" s="8">
        <f>IF(D42="High Street",1,0)</f>
        <v/>
      </c>
      <c r="F42" s="8">
        <f>IF(D42="Airport",1,0)</f>
        <v/>
      </c>
      <c r="G42" s="8">
        <f>IF(D42="Mall",1,0)</f>
        <v/>
      </c>
      <c r="H42" s="8">
        <f>IF(C42="North",1,0)</f>
        <v/>
      </c>
      <c r="I42" s="8">
        <f>IF(C42="South",1,0)</f>
        <v/>
      </c>
      <c r="J42" s="8">
        <f>IF(C42="West",1,0)</f>
        <v/>
      </c>
    </row>
    <row r="43">
      <c r="A43" s="2" t="inlineStr">
        <is>
          <t>STR-1011</t>
        </is>
      </c>
      <c r="B43" s="3" t="n">
        <v>45689</v>
      </c>
      <c r="C43" s="2" t="inlineStr">
        <is>
          <t>East</t>
        </is>
      </c>
      <c r="D43" s="2" t="inlineStr">
        <is>
          <t>Mall</t>
        </is>
      </c>
      <c r="E43" s="5">
        <f>IF(D43="High Street",1,0)</f>
        <v/>
      </c>
      <c r="F43" s="5">
        <f>IF(D43="Airport",1,0)</f>
        <v/>
      </c>
      <c r="G43" s="5">
        <f>IF(D43="Mall",1,0)</f>
        <v/>
      </c>
      <c r="H43" s="5">
        <f>IF(C43="North",1,0)</f>
        <v/>
      </c>
      <c r="I43" s="5">
        <f>IF(C43="South",1,0)</f>
        <v/>
      </c>
      <c r="J43" s="5">
        <f>IF(C43="West",1,0)</f>
        <v/>
      </c>
    </row>
    <row r="44">
      <c r="A44" s="6" t="inlineStr">
        <is>
          <t>STR-1011</t>
        </is>
      </c>
      <c r="B44" s="7" t="n">
        <v>45717</v>
      </c>
      <c r="C44" s="6" t="inlineStr">
        <is>
          <t>East</t>
        </is>
      </c>
      <c r="D44" s="6" t="inlineStr">
        <is>
          <t>Mall</t>
        </is>
      </c>
      <c r="E44" s="8">
        <f>IF(D44="High Street",1,0)</f>
        <v/>
      </c>
      <c r="F44" s="8">
        <f>IF(D44="Airport",1,0)</f>
        <v/>
      </c>
      <c r="G44" s="8">
        <f>IF(D44="Mall",1,0)</f>
        <v/>
      </c>
      <c r="H44" s="8">
        <f>IF(C44="North",1,0)</f>
        <v/>
      </c>
      <c r="I44" s="8">
        <f>IF(C44="South",1,0)</f>
        <v/>
      </c>
      <c r="J44" s="8">
        <f>IF(C44="West",1,0)</f>
        <v/>
      </c>
    </row>
    <row r="45">
      <c r="A45" s="2" t="inlineStr">
        <is>
          <t>STR-1011</t>
        </is>
      </c>
      <c r="B45" s="3" t="n">
        <v>45748</v>
      </c>
      <c r="C45" s="2" t="inlineStr">
        <is>
          <t>East</t>
        </is>
      </c>
      <c r="D45" s="2" t="inlineStr">
        <is>
          <t>Mall</t>
        </is>
      </c>
      <c r="E45" s="5">
        <f>IF(D45="High Street",1,0)</f>
        <v/>
      </c>
      <c r="F45" s="5">
        <f>IF(D45="Airport",1,0)</f>
        <v/>
      </c>
      <c r="G45" s="5">
        <f>IF(D45="Mall",1,0)</f>
        <v/>
      </c>
      <c r="H45" s="5">
        <f>IF(C45="North",1,0)</f>
        <v/>
      </c>
      <c r="I45" s="5">
        <f>IF(C45="South",1,0)</f>
        <v/>
      </c>
      <c r="J45" s="5">
        <f>IF(C45="West",1,0)</f>
        <v/>
      </c>
    </row>
    <row r="46">
      <c r="A46" s="6" t="inlineStr">
        <is>
          <t>STR-1012</t>
        </is>
      </c>
      <c r="B46" s="7" t="n">
        <v>45658</v>
      </c>
      <c r="C46" s="6" t="inlineStr">
        <is>
          <t>West</t>
        </is>
      </c>
      <c r="D46" s="6" t="inlineStr">
        <is>
          <t>Residential</t>
        </is>
      </c>
      <c r="E46" s="8">
        <f>IF(D46="High Street",1,0)</f>
        <v/>
      </c>
      <c r="F46" s="8">
        <f>IF(D46="Airport",1,0)</f>
        <v/>
      </c>
      <c r="G46" s="8">
        <f>IF(D46="Mall",1,0)</f>
        <v/>
      </c>
      <c r="H46" s="8">
        <f>IF(C46="North",1,0)</f>
        <v/>
      </c>
      <c r="I46" s="8">
        <f>IF(C46="South",1,0)</f>
        <v/>
      </c>
      <c r="J46" s="8">
        <f>IF(C46="West",1,0)</f>
        <v/>
      </c>
    </row>
    <row r="47">
      <c r="A47" s="2" t="inlineStr">
        <is>
          <t>STR-1012</t>
        </is>
      </c>
      <c r="B47" s="3" t="n">
        <v>45689</v>
      </c>
      <c r="C47" s="2" t="inlineStr">
        <is>
          <t>West</t>
        </is>
      </c>
      <c r="D47" s="2" t="inlineStr">
        <is>
          <t>Residential</t>
        </is>
      </c>
      <c r="E47" s="5">
        <f>IF(D47="High Street",1,0)</f>
        <v/>
      </c>
      <c r="F47" s="5">
        <f>IF(D47="Airport",1,0)</f>
        <v/>
      </c>
      <c r="G47" s="5">
        <f>IF(D47="Mall",1,0)</f>
        <v/>
      </c>
      <c r="H47" s="5">
        <f>IF(C47="North",1,0)</f>
        <v/>
      </c>
      <c r="I47" s="5">
        <f>IF(C47="South",1,0)</f>
        <v/>
      </c>
      <c r="J47" s="5">
        <f>IF(C47="West",1,0)</f>
        <v/>
      </c>
    </row>
    <row r="48">
      <c r="A48" s="6" t="inlineStr">
        <is>
          <t>STR-1012</t>
        </is>
      </c>
      <c r="B48" s="7" t="n">
        <v>45717</v>
      </c>
      <c r="C48" s="6" t="inlineStr">
        <is>
          <t>West</t>
        </is>
      </c>
      <c r="D48" s="6" t="inlineStr">
        <is>
          <t>Residential</t>
        </is>
      </c>
      <c r="E48" s="8">
        <f>IF(D48="High Street",1,0)</f>
        <v/>
      </c>
      <c r="F48" s="8">
        <f>IF(D48="Airport",1,0)</f>
        <v/>
      </c>
      <c r="G48" s="8">
        <f>IF(D48="Mall",1,0)</f>
        <v/>
      </c>
      <c r="H48" s="8">
        <f>IF(C48="North",1,0)</f>
        <v/>
      </c>
      <c r="I48" s="8">
        <f>IF(C48="South",1,0)</f>
        <v/>
      </c>
      <c r="J48" s="8">
        <f>IF(C48="West",1,0)</f>
        <v/>
      </c>
    </row>
    <row r="49">
      <c r="A49" s="2" t="inlineStr">
        <is>
          <t>STR-1012</t>
        </is>
      </c>
      <c r="B49" s="3" t="n">
        <v>45748</v>
      </c>
      <c r="C49" s="2" t="inlineStr">
        <is>
          <t>West</t>
        </is>
      </c>
      <c r="D49" s="2" t="inlineStr">
        <is>
          <t>Residential</t>
        </is>
      </c>
      <c r="E49" s="5">
        <f>IF(D49="High Street",1,0)</f>
        <v/>
      </c>
      <c r="F49" s="5">
        <f>IF(D49="Airport",1,0)</f>
        <v/>
      </c>
      <c r="G49" s="5">
        <f>IF(D49="Mall",1,0)</f>
        <v/>
      </c>
      <c r="H49" s="5">
        <f>IF(C49="North",1,0)</f>
        <v/>
      </c>
      <c r="I49" s="5">
        <f>IF(C49="South",1,0)</f>
        <v/>
      </c>
      <c r="J49" s="5">
        <f>IF(C49="West",1,0)</f>
        <v/>
      </c>
    </row>
    <row r="50">
      <c r="A50" s="6" t="inlineStr">
        <is>
          <t>STR-1013</t>
        </is>
      </c>
      <c r="B50" s="7" t="n">
        <v>45658</v>
      </c>
      <c r="C50" s="6" t="inlineStr">
        <is>
          <t>North</t>
        </is>
      </c>
      <c r="D50" s="6" t="inlineStr">
        <is>
          <t>Mall</t>
        </is>
      </c>
      <c r="E50" s="8">
        <f>IF(D50="High Street",1,0)</f>
        <v/>
      </c>
      <c r="F50" s="8">
        <f>IF(D50="Airport",1,0)</f>
        <v/>
      </c>
      <c r="G50" s="8">
        <f>IF(D50="Mall",1,0)</f>
        <v/>
      </c>
      <c r="H50" s="8">
        <f>IF(C50="North",1,0)</f>
        <v/>
      </c>
      <c r="I50" s="8">
        <f>IF(C50="South",1,0)</f>
        <v/>
      </c>
      <c r="J50" s="8">
        <f>IF(C50="West",1,0)</f>
        <v/>
      </c>
    </row>
    <row r="51">
      <c r="A51" s="2" t="inlineStr">
        <is>
          <t>STR-1013</t>
        </is>
      </c>
      <c r="B51" s="3" t="n">
        <v>45689</v>
      </c>
      <c r="C51" s="2" t="inlineStr">
        <is>
          <t>North</t>
        </is>
      </c>
      <c r="D51" s="2" t="inlineStr">
        <is>
          <t>Mall</t>
        </is>
      </c>
      <c r="E51" s="5">
        <f>IF(D51="High Street",1,0)</f>
        <v/>
      </c>
      <c r="F51" s="5">
        <f>IF(D51="Airport",1,0)</f>
        <v/>
      </c>
      <c r="G51" s="5">
        <f>IF(D51="Mall",1,0)</f>
        <v/>
      </c>
      <c r="H51" s="5">
        <f>IF(C51="North",1,0)</f>
        <v/>
      </c>
      <c r="I51" s="5">
        <f>IF(C51="South",1,0)</f>
        <v/>
      </c>
      <c r="J51" s="5">
        <f>IF(C51="West",1,0)</f>
        <v/>
      </c>
    </row>
    <row r="52">
      <c r="A52" s="6" t="inlineStr">
        <is>
          <t>STR-1013</t>
        </is>
      </c>
      <c r="B52" s="7" t="n">
        <v>45717</v>
      </c>
      <c r="C52" s="6" t="inlineStr">
        <is>
          <t>North</t>
        </is>
      </c>
      <c r="D52" s="6" t="inlineStr">
        <is>
          <t>Mall</t>
        </is>
      </c>
      <c r="E52" s="8">
        <f>IF(D52="High Street",1,0)</f>
        <v/>
      </c>
      <c r="F52" s="8">
        <f>IF(D52="Airport",1,0)</f>
        <v/>
      </c>
      <c r="G52" s="8">
        <f>IF(D52="Mall",1,0)</f>
        <v/>
      </c>
      <c r="H52" s="8">
        <f>IF(C52="North",1,0)</f>
        <v/>
      </c>
      <c r="I52" s="8">
        <f>IF(C52="South",1,0)</f>
        <v/>
      </c>
      <c r="J52" s="8">
        <f>IF(C52="West",1,0)</f>
        <v/>
      </c>
    </row>
    <row r="53">
      <c r="A53" s="2" t="inlineStr">
        <is>
          <t>STR-1013</t>
        </is>
      </c>
      <c r="B53" s="3" t="n">
        <v>45748</v>
      </c>
      <c r="C53" s="2" t="inlineStr">
        <is>
          <t>North</t>
        </is>
      </c>
      <c r="D53" s="2" t="inlineStr">
        <is>
          <t>Mall</t>
        </is>
      </c>
      <c r="E53" s="5">
        <f>IF(D53="High Street",1,0)</f>
        <v/>
      </c>
      <c r="F53" s="5">
        <f>IF(D53="Airport",1,0)</f>
        <v/>
      </c>
      <c r="G53" s="5">
        <f>IF(D53="Mall",1,0)</f>
        <v/>
      </c>
      <c r="H53" s="5">
        <f>IF(C53="North",1,0)</f>
        <v/>
      </c>
      <c r="I53" s="5">
        <f>IF(C53="South",1,0)</f>
        <v/>
      </c>
      <c r="J53" s="5">
        <f>IF(C53="West",1,0)</f>
        <v/>
      </c>
    </row>
    <row r="54">
      <c r="A54" s="6" t="inlineStr">
        <is>
          <t>STR-1014</t>
        </is>
      </c>
      <c r="B54" s="7" t="n">
        <v>45658</v>
      </c>
      <c r="C54" s="6" t="inlineStr">
        <is>
          <t>West</t>
        </is>
      </c>
      <c r="D54" s="6" t="inlineStr">
        <is>
          <t>High Street</t>
        </is>
      </c>
      <c r="E54" s="8">
        <f>IF(D54="High Street",1,0)</f>
        <v/>
      </c>
      <c r="F54" s="8">
        <f>IF(D54="Airport",1,0)</f>
        <v/>
      </c>
      <c r="G54" s="8">
        <f>IF(D54="Mall",1,0)</f>
        <v/>
      </c>
      <c r="H54" s="8">
        <f>IF(C54="North",1,0)</f>
        <v/>
      </c>
      <c r="I54" s="8">
        <f>IF(C54="South",1,0)</f>
        <v/>
      </c>
      <c r="J54" s="8">
        <f>IF(C54="West",1,0)</f>
        <v/>
      </c>
    </row>
    <row r="55">
      <c r="A55" s="2" t="inlineStr">
        <is>
          <t>STR-1014</t>
        </is>
      </c>
      <c r="B55" s="3" t="n">
        <v>45689</v>
      </c>
      <c r="C55" s="2" t="inlineStr">
        <is>
          <t>West</t>
        </is>
      </c>
      <c r="D55" s="2" t="inlineStr">
        <is>
          <t>High Street</t>
        </is>
      </c>
      <c r="E55" s="5">
        <f>IF(D55="High Street",1,0)</f>
        <v/>
      </c>
      <c r="F55" s="5">
        <f>IF(D55="Airport",1,0)</f>
        <v/>
      </c>
      <c r="G55" s="5">
        <f>IF(D55="Mall",1,0)</f>
        <v/>
      </c>
      <c r="H55" s="5">
        <f>IF(C55="North",1,0)</f>
        <v/>
      </c>
      <c r="I55" s="5">
        <f>IF(C55="South",1,0)</f>
        <v/>
      </c>
      <c r="J55" s="5">
        <f>IF(C55="West",1,0)</f>
        <v/>
      </c>
    </row>
    <row r="56">
      <c r="A56" s="6" t="inlineStr">
        <is>
          <t>STR-1014</t>
        </is>
      </c>
      <c r="B56" s="7" t="n">
        <v>45717</v>
      </c>
      <c r="C56" s="6" t="inlineStr">
        <is>
          <t>West</t>
        </is>
      </c>
      <c r="D56" s="6" t="inlineStr">
        <is>
          <t>High Street</t>
        </is>
      </c>
      <c r="E56" s="8">
        <f>IF(D56="High Street",1,0)</f>
        <v/>
      </c>
      <c r="F56" s="8">
        <f>IF(D56="Airport",1,0)</f>
        <v/>
      </c>
      <c r="G56" s="8">
        <f>IF(D56="Mall",1,0)</f>
        <v/>
      </c>
      <c r="H56" s="8">
        <f>IF(C56="North",1,0)</f>
        <v/>
      </c>
      <c r="I56" s="8">
        <f>IF(C56="South",1,0)</f>
        <v/>
      </c>
      <c r="J56" s="8">
        <f>IF(C56="West",1,0)</f>
        <v/>
      </c>
    </row>
    <row r="57">
      <c r="A57" s="2" t="inlineStr">
        <is>
          <t>STR-1014</t>
        </is>
      </c>
      <c r="B57" s="3" t="n">
        <v>45748</v>
      </c>
      <c r="C57" s="2" t="inlineStr">
        <is>
          <t>West</t>
        </is>
      </c>
      <c r="D57" s="2" t="inlineStr">
        <is>
          <t>High Street</t>
        </is>
      </c>
      <c r="E57" s="5">
        <f>IF(D57="High Street",1,0)</f>
        <v/>
      </c>
      <c r="F57" s="5">
        <f>IF(D57="Airport",1,0)</f>
        <v/>
      </c>
      <c r="G57" s="5">
        <f>IF(D57="Mall",1,0)</f>
        <v/>
      </c>
      <c r="H57" s="5">
        <f>IF(C57="North",1,0)</f>
        <v/>
      </c>
      <c r="I57" s="5">
        <f>IF(C57="South",1,0)</f>
        <v/>
      </c>
      <c r="J57" s="5">
        <f>IF(C57="West",1,0)</f>
        <v/>
      </c>
    </row>
    <row r="58">
      <c r="A58" s="6" t="inlineStr">
        <is>
          <t>STR-1015</t>
        </is>
      </c>
      <c r="B58" s="7" t="n">
        <v>45658</v>
      </c>
      <c r="C58" s="6" t="inlineStr">
        <is>
          <t>East</t>
        </is>
      </c>
      <c r="D58" s="6" t="inlineStr">
        <is>
          <t>Airport</t>
        </is>
      </c>
      <c r="E58" s="8">
        <f>IF(D58="High Street",1,0)</f>
        <v/>
      </c>
      <c r="F58" s="8">
        <f>IF(D58="Airport",1,0)</f>
        <v/>
      </c>
      <c r="G58" s="8">
        <f>IF(D58="Mall",1,0)</f>
        <v/>
      </c>
      <c r="H58" s="8">
        <f>IF(C58="North",1,0)</f>
        <v/>
      </c>
      <c r="I58" s="8">
        <f>IF(C58="South",1,0)</f>
        <v/>
      </c>
      <c r="J58" s="8">
        <f>IF(C58="West",1,0)</f>
        <v/>
      </c>
    </row>
    <row r="59">
      <c r="A59" s="2" t="inlineStr">
        <is>
          <t>STR-1015</t>
        </is>
      </c>
      <c r="B59" s="3" t="n">
        <v>45689</v>
      </c>
      <c r="C59" s="2" t="inlineStr">
        <is>
          <t>East</t>
        </is>
      </c>
      <c r="D59" s="2" t="inlineStr">
        <is>
          <t>Airport</t>
        </is>
      </c>
      <c r="E59" s="5">
        <f>IF(D59="High Street",1,0)</f>
        <v/>
      </c>
      <c r="F59" s="5">
        <f>IF(D59="Airport",1,0)</f>
        <v/>
      </c>
      <c r="G59" s="5">
        <f>IF(D59="Mall",1,0)</f>
        <v/>
      </c>
      <c r="H59" s="5">
        <f>IF(C59="North",1,0)</f>
        <v/>
      </c>
      <c r="I59" s="5">
        <f>IF(C59="South",1,0)</f>
        <v/>
      </c>
      <c r="J59" s="5">
        <f>IF(C59="West",1,0)</f>
        <v/>
      </c>
    </row>
    <row r="60">
      <c r="A60" s="6" t="inlineStr">
        <is>
          <t>STR-1015</t>
        </is>
      </c>
      <c r="B60" s="7" t="n">
        <v>45717</v>
      </c>
      <c r="C60" s="6" t="inlineStr">
        <is>
          <t>East</t>
        </is>
      </c>
      <c r="D60" s="6" t="inlineStr">
        <is>
          <t>Airport</t>
        </is>
      </c>
      <c r="E60" s="8">
        <f>IF(D60="High Street",1,0)</f>
        <v/>
      </c>
      <c r="F60" s="8">
        <f>IF(D60="Airport",1,0)</f>
        <v/>
      </c>
      <c r="G60" s="8">
        <f>IF(D60="Mall",1,0)</f>
        <v/>
      </c>
      <c r="H60" s="8">
        <f>IF(C60="North",1,0)</f>
        <v/>
      </c>
      <c r="I60" s="8">
        <f>IF(C60="South",1,0)</f>
        <v/>
      </c>
      <c r="J60" s="8">
        <f>IF(C60="West",1,0)</f>
        <v/>
      </c>
    </row>
    <row r="61">
      <c r="A61" s="2" t="inlineStr">
        <is>
          <t>STR-1015</t>
        </is>
      </c>
      <c r="B61" s="3" t="n">
        <v>45748</v>
      </c>
      <c r="C61" s="2" t="inlineStr">
        <is>
          <t>East</t>
        </is>
      </c>
      <c r="D61" s="2" t="inlineStr">
        <is>
          <t>Airport</t>
        </is>
      </c>
      <c r="E61" s="5">
        <f>IF(D61="High Street",1,0)</f>
        <v/>
      </c>
      <c r="F61" s="5">
        <f>IF(D61="Airport",1,0)</f>
        <v/>
      </c>
      <c r="G61" s="5">
        <f>IF(D61="Mall",1,0)</f>
        <v/>
      </c>
      <c r="H61" s="5">
        <f>IF(C61="North",1,0)</f>
        <v/>
      </c>
      <c r="I61" s="5">
        <f>IF(C61="South",1,0)</f>
        <v/>
      </c>
      <c r="J61" s="5">
        <f>IF(C61="West",1,0)</f>
        <v/>
      </c>
    </row>
    <row r="62">
      <c r="A62" s="6" t="inlineStr">
        <is>
          <t>STR-1016</t>
        </is>
      </c>
      <c r="B62" s="7" t="n">
        <v>45658</v>
      </c>
      <c r="C62" s="6" t="inlineStr">
        <is>
          <t>South</t>
        </is>
      </c>
      <c r="D62" s="6" t="inlineStr">
        <is>
          <t>High Street</t>
        </is>
      </c>
      <c r="E62" s="8">
        <f>IF(D62="High Street",1,0)</f>
        <v/>
      </c>
      <c r="F62" s="8">
        <f>IF(D62="Airport",1,0)</f>
        <v/>
      </c>
      <c r="G62" s="8">
        <f>IF(D62="Mall",1,0)</f>
        <v/>
      </c>
      <c r="H62" s="8">
        <f>IF(C62="North",1,0)</f>
        <v/>
      </c>
      <c r="I62" s="8">
        <f>IF(C62="South",1,0)</f>
        <v/>
      </c>
      <c r="J62" s="8">
        <f>IF(C62="West",1,0)</f>
        <v/>
      </c>
    </row>
    <row r="63">
      <c r="A63" s="2" t="inlineStr">
        <is>
          <t>STR-1016</t>
        </is>
      </c>
      <c r="B63" s="3" t="n">
        <v>45689</v>
      </c>
      <c r="C63" s="2" t="inlineStr">
        <is>
          <t>South</t>
        </is>
      </c>
      <c r="D63" s="2" t="inlineStr">
        <is>
          <t>High Street</t>
        </is>
      </c>
      <c r="E63" s="5">
        <f>IF(D63="High Street",1,0)</f>
        <v/>
      </c>
      <c r="F63" s="5">
        <f>IF(D63="Airport",1,0)</f>
        <v/>
      </c>
      <c r="G63" s="5">
        <f>IF(D63="Mall",1,0)</f>
        <v/>
      </c>
      <c r="H63" s="5">
        <f>IF(C63="North",1,0)</f>
        <v/>
      </c>
      <c r="I63" s="5">
        <f>IF(C63="South",1,0)</f>
        <v/>
      </c>
      <c r="J63" s="5">
        <f>IF(C63="West",1,0)</f>
        <v/>
      </c>
    </row>
    <row r="64">
      <c r="A64" s="6" t="inlineStr">
        <is>
          <t>STR-1016</t>
        </is>
      </c>
      <c r="B64" s="7" t="n">
        <v>45717</v>
      </c>
      <c r="C64" s="6" t="inlineStr">
        <is>
          <t>South</t>
        </is>
      </c>
      <c r="D64" s="6" t="inlineStr">
        <is>
          <t>High Street</t>
        </is>
      </c>
      <c r="E64" s="8">
        <f>IF(D64="High Street",1,0)</f>
        <v/>
      </c>
      <c r="F64" s="8">
        <f>IF(D64="Airport",1,0)</f>
        <v/>
      </c>
      <c r="G64" s="8">
        <f>IF(D64="Mall",1,0)</f>
        <v/>
      </c>
      <c r="H64" s="8">
        <f>IF(C64="North",1,0)</f>
        <v/>
      </c>
      <c r="I64" s="8">
        <f>IF(C64="South",1,0)</f>
        <v/>
      </c>
      <c r="J64" s="8">
        <f>IF(C64="West",1,0)</f>
        <v/>
      </c>
    </row>
    <row r="65">
      <c r="A65" s="2" t="inlineStr">
        <is>
          <t>STR-1016</t>
        </is>
      </c>
      <c r="B65" s="3" t="n">
        <v>45748</v>
      </c>
      <c r="C65" s="2" t="inlineStr">
        <is>
          <t>South</t>
        </is>
      </c>
      <c r="D65" s="2" t="inlineStr">
        <is>
          <t>High Street</t>
        </is>
      </c>
      <c r="E65" s="5">
        <f>IF(D65="High Street",1,0)</f>
        <v/>
      </c>
      <c r="F65" s="5">
        <f>IF(D65="Airport",1,0)</f>
        <v/>
      </c>
      <c r="G65" s="5">
        <f>IF(D65="Mall",1,0)</f>
        <v/>
      </c>
      <c r="H65" s="5">
        <f>IF(C65="North",1,0)</f>
        <v/>
      </c>
      <c r="I65" s="5">
        <f>IF(C65="South",1,0)</f>
        <v/>
      </c>
      <c r="J65" s="5">
        <f>IF(C65="West",1,0)</f>
        <v/>
      </c>
    </row>
    <row r="66">
      <c r="A66" s="6" t="inlineStr">
        <is>
          <t>STR-1017</t>
        </is>
      </c>
      <c r="B66" s="7" t="n">
        <v>45658</v>
      </c>
      <c r="C66" s="6" t="inlineStr">
        <is>
          <t>West</t>
        </is>
      </c>
      <c r="D66" s="6" t="inlineStr">
        <is>
          <t>High Street</t>
        </is>
      </c>
      <c r="E66" s="8">
        <f>IF(D66="High Street",1,0)</f>
        <v/>
      </c>
      <c r="F66" s="8">
        <f>IF(D66="Airport",1,0)</f>
        <v/>
      </c>
      <c r="G66" s="8">
        <f>IF(D66="Mall",1,0)</f>
        <v/>
      </c>
      <c r="H66" s="8">
        <f>IF(C66="North",1,0)</f>
        <v/>
      </c>
      <c r="I66" s="8">
        <f>IF(C66="South",1,0)</f>
        <v/>
      </c>
      <c r="J66" s="8">
        <f>IF(C66="West",1,0)</f>
        <v/>
      </c>
    </row>
    <row r="67">
      <c r="A67" s="2" t="inlineStr">
        <is>
          <t>STR-1017</t>
        </is>
      </c>
      <c r="B67" s="3" t="n">
        <v>45689</v>
      </c>
      <c r="C67" s="2" t="inlineStr">
        <is>
          <t>West</t>
        </is>
      </c>
      <c r="D67" s="2" t="inlineStr">
        <is>
          <t>High Street</t>
        </is>
      </c>
      <c r="E67" s="5">
        <f>IF(D67="High Street",1,0)</f>
        <v/>
      </c>
      <c r="F67" s="5">
        <f>IF(D67="Airport",1,0)</f>
        <v/>
      </c>
      <c r="G67" s="5">
        <f>IF(D67="Mall",1,0)</f>
        <v/>
      </c>
      <c r="H67" s="5">
        <f>IF(C67="North",1,0)</f>
        <v/>
      </c>
      <c r="I67" s="5">
        <f>IF(C67="South",1,0)</f>
        <v/>
      </c>
      <c r="J67" s="5">
        <f>IF(C67="West",1,0)</f>
        <v/>
      </c>
    </row>
    <row r="68">
      <c r="A68" s="6" t="inlineStr">
        <is>
          <t>STR-1017</t>
        </is>
      </c>
      <c r="B68" s="7" t="n">
        <v>45717</v>
      </c>
      <c r="C68" s="6" t="inlineStr">
        <is>
          <t>West</t>
        </is>
      </c>
      <c r="D68" s="6" t="inlineStr">
        <is>
          <t>High Street</t>
        </is>
      </c>
      <c r="E68" s="8">
        <f>IF(D68="High Street",1,0)</f>
        <v/>
      </c>
      <c r="F68" s="8">
        <f>IF(D68="Airport",1,0)</f>
        <v/>
      </c>
      <c r="G68" s="8">
        <f>IF(D68="Mall",1,0)</f>
        <v/>
      </c>
      <c r="H68" s="8">
        <f>IF(C68="North",1,0)</f>
        <v/>
      </c>
      <c r="I68" s="8">
        <f>IF(C68="South",1,0)</f>
        <v/>
      </c>
      <c r="J68" s="8">
        <f>IF(C68="West",1,0)</f>
        <v/>
      </c>
    </row>
    <row r="69">
      <c r="A69" s="2" t="inlineStr">
        <is>
          <t>STR-1017</t>
        </is>
      </c>
      <c r="B69" s="3" t="n">
        <v>45748</v>
      </c>
      <c r="C69" s="2" t="inlineStr">
        <is>
          <t>West</t>
        </is>
      </c>
      <c r="D69" s="2" t="inlineStr">
        <is>
          <t>High Street</t>
        </is>
      </c>
      <c r="E69" s="5">
        <f>IF(D69="High Street",1,0)</f>
        <v/>
      </c>
      <c r="F69" s="5">
        <f>IF(D69="Airport",1,0)</f>
        <v/>
      </c>
      <c r="G69" s="5">
        <f>IF(D69="Mall",1,0)</f>
        <v/>
      </c>
      <c r="H69" s="5">
        <f>IF(C69="North",1,0)</f>
        <v/>
      </c>
      <c r="I69" s="5">
        <f>IF(C69="South",1,0)</f>
        <v/>
      </c>
      <c r="J69" s="5">
        <f>IF(C69="West",1,0)</f>
        <v/>
      </c>
    </row>
    <row r="70">
      <c r="A70" s="6" t="inlineStr">
        <is>
          <t>STR-1018</t>
        </is>
      </c>
      <c r="B70" s="7" t="n">
        <v>45658</v>
      </c>
      <c r="C70" s="6" t="inlineStr">
        <is>
          <t>East</t>
        </is>
      </c>
      <c r="D70" s="6" t="inlineStr">
        <is>
          <t>High Street</t>
        </is>
      </c>
      <c r="E70" s="8">
        <f>IF(D70="High Street",1,0)</f>
        <v/>
      </c>
      <c r="F70" s="8">
        <f>IF(D70="Airport",1,0)</f>
        <v/>
      </c>
      <c r="G70" s="8">
        <f>IF(D70="Mall",1,0)</f>
        <v/>
      </c>
      <c r="H70" s="8">
        <f>IF(C70="North",1,0)</f>
        <v/>
      </c>
      <c r="I70" s="8">
        <f>IF(C70="South",1,0)</f>
        <v/>
      </c>
      <c r="J70" s="8">
        <f>IF(C70="West",1,0)</f>
        <v/>
      </c>
    </row>
    <row r="71">
      <c r="A71" s="2" t="inlineStr">
        <is>
          <t>STR-1018</t>
        </is>
      </c>
      <c r="B71" s="3" t="n">
        <v>45689</v>
      </c>
      <c r="C71" s="2" t="inlineStr">
        <is>
          <t>East</t>
        </is>
      </c>
      <c r="D71" s="2" t="inlineStr">
        <is>
          <t>High Street</t>
        </is>
      </c>
      <c r="E71" s="5">
        <f>IF(D71="High Street",1,0)</f>
        <v/>
      </c>
      <c r="F71" s="5">
        <f>IF(D71="Airport",1,0)</f>
        <v/>
      </c>
      <c r="G71" s="5">
        <f>IF(D71="Mall",1,0)</f>
        <v/>
      </c>
      <c r="H71" s="5">
        <f>IF(C71="North",1,0)</f>
        <v/>
      </c>
      <c r="I71" s="5">
        <f>IF(C71="South",1,0)</f>
        <v/>
      </c>
      <c r="J71" s="5">
        <f>IF(C71="West",1,0)</f>
        <v/>
      </c>
    </row>
    <row r="72">
      <c r="A72" s="6" t="inlineStr">
        <is>
          <t>STR-1018</t>
        </is>
      </c>
      <c r="B72" s="7" t="n">
        <v>45717</v>
      </c>
      <c r="C72" s="6" t="inlineStr">
        <is>
          <t>East</t>
        </is>
      </c>
      <c r="D72" s="6" t="inlineStr">
        <is>
          <t>High Street</t>
        </is>
      </c>
      <c r="E72" s="8">
        <f>IF(D72="High Street",1,0)</f>
        <v/>
      </c>
      <c r="F72" s="8">
        <f>IF(D72="Airport",1,0)</f>
        <v/>
      </c>
      <c r="G72" s="8">
        <f>IF(D72="Mall",1,0)</f>
        <v/>
      </c>
      <c r="H72" s="8">
        <f>IF(C72="North",1,0)</f>
        <v/>
      </c>
      <c r="I72" s="8">
        <f>IF(C72="South",1,0)</f>
        <v/>
      </c>
      <c r="J72" s="8">
        <f>IF(C72="West",1,0)</f>
        <v/>
      </c>
    </row>
    <row r="73">
      <c r="A73" s="2" t="inlineStr">
        <is>
          <t>STR-1019</t>
        </is>
      </c>
      <c r="B73" s="3" t="n">
        <v>45658</v>
      </c>
      <c r="C73" s="2" t="inlineStr">
        <is>
          <t>East</t>
        </is>
      </c>
      <c r="D73" s="2" t="inlineStr">
        <is>
          <t>Residential</t>
        </is>
      </c>
      <c r="E73" s="5">
        <f>IF(D73="High Street",1,0)</f>
        <v/>
      </c>
      <c r="F73" s="5">
        <f>IF(D73="Airport",1,0)</f>
        <v/>
      </c>
      <c r="G73" s="5">
        <f>IF(D73="Mall",1,0)</f>
        <v/>
      </c>
      <c r="H73" s="5">
        <f>IF(C73="North",1,0)</f>
        <v/>
      </c>
      <c r="I73" s="5">
        <f>IF(C73="South",1,0)</f>
        <v/>
      </c>
      <c r="J73" s="5">
        <f>IF(C73="West",1,0)</f>
        <v/>
      </c>
    </row>
    <row r="74">
      <c r="A74" s="6" t="inlineStr">
        <is>
          <t>STR-1019</t>
        </is>
      </c>
      <c r="B74" s="7" t="n">
        <v>45689</v>
      </c>
      <c r="C74" s="6" t="inlineStr">
        <is>
          <t>East</t>
        </is>
      </c>
      <c r="D74" s="6" t="inlineStr">
        <is>
          <t>Residential</t>
        </is>
      </c>
      <c r="E74" s="8">
        <f>IF(D74="High Street",1,0)</f>
        <v/>
      </c>
      <c r="F74" s="8">
        <f>IF(D74="Airport",1,0)</f>
        <v/>
      </c>
      <c r="G74" s="8">
        <f>IF(D74="Mall",1,0)</f>
        <v/>
      </c>
      <c r="H74" s="8">
        <f>IF(C74="North",1,0)</f>
        <v/>
      </c>
      <c r="I74" s="8">
        <f>IF(C74="South",1,0)</f>
        <v/>
      </c>
      <c r="J74" s="8">
        <f>IF(C74="West",1,0)</f>
        <v/>
      </c>
    </row>
    <row r="75">
      <c r="A75" s="2" t="inlineStr">
        <is>
          <t>STR-1019</t>
        </is>
      </c>
      <c r="B75" s="3" t="n">
        <v>45717</v>
      </c>
      <c r="C75" s="2" t="inlineStr">
        <is>
          <t>East</t>
        </is>
      </c>
      <c r="D75" s="2" t="inlineStr">
        <is>
          <t>Residential</t>
        </is>
      </c>
      <c r="E75" s="5">
        <f>IF(D75="High Street",1,0)</f>
        <v/>
      </c>
      <c r="F75" s="5">
        <f>IF(D75="Airport",1,0)</f>
        <v/>
      </c>
      <c r="G75" s="5">
        <f>IF(D75="Mall",1,0)</f>
        <v/>
      </c>
      <c r="H75" s="5">
        <f>IF(C75="North",1,0)</f>
        <v/>
      </c>
      <c r="I75" s="5">
        <f>IF(C75="South",1,0)</f>
        <v/>
      </c>
      <c r="J75" s="5">
        <f>IF(C75="West",1,0)</f>
        <v/>
      </c>
    </row>
    <row r="76">
      <c r="A76" s="6" t="inlineStr">
        <is>
          <t>STR-1019</t>
        </is>
      </c>
      <c r="B76" s="7" t="n">
        <v>45748</v>
      </c>
      <c r="C76" s="6" t="inlineStr">
        <is>
          <t>East</t>
        </is>
      </c>
      <c r="D76" s="6" t="inlineStr">
        <is>
          <t>Residential</t>
        </is>
      </c>
      <c r="E76" s="8">
        <f>IF(D76="High Street",1,0)</f>
        <v/>
      </c>
      <c r="F76" s="8">
        <f>IF(D76="Airport",1,0)</f>
        <v/>
      </c>
      <c r="G76" s="8">
        <f>IF(D76="Mall",1,0)</f>
        <v/>
      </c>
      <c r="H76" s="8">
        <f>IF(C76="North",1,0)</f>
        <v/>
      </c>
      <c r="I76" s="8">
        <f>IF(C76="South",1,0)</f>
        <v/>
      </c>
      <c r="J76" s="8">
        <f>IF(C76="West",1,0)</f>
        <v/>
      </c>
    </row>
    <row r="77">
      <c r="A77" s="2" t="inlineStr">
        <is>
          <t>STR-1020</t>
        </is>
      </c>
      <c r="B77" s="3" t="n">
        <v>45658</v>
      </c>
      <c r="C77" s="2" t="inlineStr">
        <is>
          <t>South</t>
        </is>
      </c>
      <c r="D77" s="2" t="inlineStr">
        <is>
          <t>High Street</t>
        </is>
      </c>
      <c r="E77" s="5">
        <f>IF(D77="High Street",1,0)</f>
        <v/>
      </c>
      <c r="F77" s="5">
        <f>IF(D77="Airport",1,0)</f>
        <v/>
      </c>
      <c r="G77" s="5">
        <f>IF(D77="Mall",1,0)</f>
        <v/>
      </c>
      <c r="H77" s="5">
        <f>IF(C77="North",1,0)</f>
        <v/>
      </c>
      <c r="I77" s="5">
        <f>IF(C77="South",1,0)</f>
        <v/>
      </c>
      <c r="J77" s="5">
        <f>IF(C77="West",1,0)</f>
        <v/>
      </c>
    </row>
    <row r="78">
      <c r="A78" s="6" t="inlineStr">
        <is>
          <t>STR-1020</t>
        </is>
      </c>
      <c r="B78" s="7" t="n">
        <v>45689</v>
      </c>
      <c r="C78" s="6" t="inlineStr">
        <is>
          <t>South</t>
        </is>
      </c>
      <c r="D78" s="6" t="inlineStr">
        <is>
          <t>High Street</t>
        </is>
      </c>
      <c r="E78" s="8">
        <f>IF(D78="High Street",1,0)</f>
        <v/>
      </c>
      <c r="F78" s="8">
        <f>IF(D78="Airport",1,0)</f>
        <v/>
      </c>
      <c r="G78" s="8">
        <f>IF(D78="Mall",1,0)</f>
        <v/>
      </c>
      <c r="H78" s="8">
        <f>IF(C78="North",1,0)</f>
        <v/>
      </c>
      <c r="I78" s="8">
        <f>IF(C78="South",1,0)</f>
        <v/>
      </c>
      <c r="J78" s="8">
        <f>IF(C78="West",1,0)</f>
        <v/>
      </c>
    </row>
    <row r="79">
      <c r="A79" s="2" t="inlineStr">
        <is>
          <t>STR-1020</t>
        </is>
      </c>
      <c r="B79" s="3" t="n">
        <v>45717</v>
      </c>
      <c r="C79" s="2" t="inlineStr">
        <is>
          <t>South</t>
        </is>
      </c>
      <c r="D79" s="2" t="inlineStr">
        <is>
          <t>High Street</t>
        </is>
      </c>
      <c r="E79" s="5">
        <f>IF(D79="High Street",1,0)</f>
        <v/>
      </c>
      <c r="F79" s="5">
        <f>IF(D79="Airport",1,0)</f>
        <v/>
      </c>
      <c r="G79" s="5">
        <f>IF(D79="Mall",1,0)</f>
        <v/>
      </c>
      <c r="H79" s="5">
        <f>IF(C79="North",1,0)</f>
        <v/>
      </c>
      <c r="I79" s="5">
        <f>IF(C79="South",1,0)</f>
        <v/>
      </c>
      <c r="J79" s="5">
        <f>IF(C79="West",1,0)</f>
        <v/>
      </c>
    </row>
    <row r="80">
      <c r="A80" s="6" t="inlineStr">
        <is>
          <t>STR-1020</t>
        </is>
      </c>
      <c r="B80" s="7" t="n">
        <v>45748</v>
      </c>
      <c r="C80" s="6" t="inlineStr">
        <is>
          <t>South</t>
        </is>
      </c>
      <c r="D80" s="6" t="inlineStr">
        <is>
          <t>High Street</t>
        </is>
      </c>
      <c r="E80" s="8">
        <f>IF(D80="High Street",1,0)</f>
        <v/>
      </c>
      <c r="F80" s="8">
        <f>IF(D80="Airport",1,0)</f>
        <v/>
      </c>
      <c r="G80" s="8">
        <f>IF(D80="Mall",1,0)</f>
        <v/>
      </c>
      <c r="H80" s="8">
        <f>IF(C80="North",1,0)</f>
        <v/>
      </c>
      <c r="I80" s="8">
        <f>IF(C80="South",1,0)</f>
        <v/>
      </c>
      <c r="J80" s="8">
        <f>IF(C80="West",1,0)</f>
        <v/>
      </c>
    </row>
    <row r="81">
      <c r="A81" s="2" t="inlineStr">
        <is>
          <t>STR-1021</t>
        </is>
      </c>
      <c r="B81" s="3" t="n">
        <v>45658</v>
      </c>
      <c r="C81" s="2" t="inlineStr">
        <is>
          <t>West</t>
        </is>
      </c>
      <c r="D81" s="2" t="inlineStr">
        <is>
          <t>Mall</t>
        </is>
      </c>
      <c r="E81" s="5">
        <f>IF(D81="High Street",1,0)</f>
        <v/>
      </c>
      <c r="F81" s="5">
        <f>IF(D81="Airport",1,0)</f>
        <v/>
      </c>
      <c r="G81" s="5">
        <f>IF(D81="Mall",1,0)</f>
        <v/>
      </c>
      <c r="H81" s="5">
        <f>IF(C81="North",1,0)</f>
        <v/>
      </c>
      <c r="I81" s="5">
        <f>IF(C81="South",1,0)</f>
        <v/>
      </c>
      <c r="J81" s="5">
        <f>IF(C81="West",1,0)</f>
        <v/>
      </c>
    </row>
    <row r="82">
      <c r="A82" s="6" t="inlineStr">
        <is>
          <t>STR-1021</t>
        </is>
      </c>
      <c r="B82" s="7" t="n">
        <v>45689</v>
      </c>
      <c r="C82" s="6" t="inlineStr">
        <is>
          <t>West</t>
        </is>
      </c>
      <c r="D82" s="6" t="inlineStr">
        <is>
          <t>Mall</t>
        </is>
      </c>
      <c r="E82" s="8">
        <f>IF(D82="High Street",1,0)</f>
        <v/>
      </c>
      <c r="F82" s="8">
        <f>IF(D82="Airport",1,0)</f>
        <v/>
      </c>
      <c r="G82" s="8">
        <f>IF(D82="Mall",1,0)</f>
        <v/>
      </c>
      <c r="H82" s="8">
        <f>IF(C82="North",1,0)</f>
        <v/>
      </c>
      <c r="I82" s="8">
        <f>IF(C82="South",1,0)</f>
        <v/>
      </c>
      <c r="J82" s="8">
        <f>IF(C82="West",1,0)</f>
        <v/>
      </c>
    </row>
    <row r="83">
      <c r="A83" s="2" t="inlineStr">
        <is>
          <t>STR-1021</t>
        </is>
      </c>
      <c r="B83" s="3" t="n">
        <v>45717</v>
      </c>
      <c r="C83" s="2" t="inlineStr">
        <is>
          <t>West</t>
        </is>
      </c>
      <c r="D83" s="2" t="inlineStr">
        <is>
          <t>Mall</t>
        </is>
      </c>
      <c r="E83" s="5">
        <f>IF(D83="High Street",1,0)</f>
        <v/>
      </c>
      <c r="F83" s="5">
        <f>IF(D83="Airport",1,0)</f>
        <v/>
      </c>
      <c r="G83" s="5">
        <f>IF(D83="Mall",1,0)</f>
        <v/>
      </c>
      <c r="H83" s="5">
        <f>IF(C83="North",1,0)</f>
        <v/>
      </c>
      <c r="I83" s="5">
        <f>IF(C83="South",1,0)</f>
        <v/>
      </c>
      <c r="J83" s="5">
        <f>IF(C83="West",1,0)</f>
        <v/>
      </c>
    </row>
    <row r="84">
      <c r="A84" s="6" t="inlineStr">
        <is>
          <t>STR-1021</t>
        </is>
      </c>
      <c r="B84" s="7" t="n">
        <v>45748</v>
      </c>
      <c r="C84" s="6" t="inlineStr">
        <is>
          <t>West</t>
        </is>
      </c>
      <c r="D84" s="6" t="inlineStr">
        <is>
          <t>Mall</t>
        </is>
      </c>
      <c r="E84" s="8">
        <f>IF(D84="High Street",1,0)</f>
        <v/>
      </c>
      <c r="F84" s="8">
        <f>IF(D84="Airport",1,0)</f>
        <v/>
      </c>
      <c r="G84" s="8">
        <f>IF(D84="Mall",1,0)</f>
        <v/>
      </c>
      <c r="H84" s="8">
        <f>IF(C84="North",1,0)</f>
        <v/>
      </c>
      <c r="I84" s="8">
        <f>IF(C84="South",1,0)</f>
        <v/>
      </c>
      <c r="J84" s="8">
        <f>IF(C84="West",1,0)</f>
        <v/>
      </c>
    </row>
    <row r="85">
      <c r="A85" s="2" t="inlineStr">
        <is>
          <t>STR-1022</t>
        </is>
      </c>
      <c r="B85" s="3" t="n">
        <v>45658</v>
      </c>
      <c r="C85" s="2" t="inlineStr">
        <is>
          <t>West</t>
        </is>
      </c>
      <c r="D85" s="2" t="inlineStr">
        <is>
          <t>High Street</t>
        </is>
      </c>
      <c r="E85" s="5">
        <f>IF(D85="High Street",1,0)</f>
        <v/>
      </c>
      <c r="F85" s="5">
        <f>IF(D85="Airport",1,0)</f>
        <v/>
      </c>
      <c r="G85" s="5">
        <f>IF(D85="Mall",1,0)</f>
        <v/>
      </c>
      <c r="H85" s="5">
        <f>IF(C85="North",1,0)</f>
        <v/>
      </c>
      <c r="I85" s="5">
        <f>IF(C85="South",1,0)</f>
        <v/>
      </c>
      <c r="J85" s="5">
        <f>IF(C85="West",1,0)</f>
        <v/>
      </c>
    </row>
    <row r="86">
      <c r="A86" s="6" t="inlineStr">
        <is>
          <t>STR-1022</t>
        </is>
      </c>
      <c r="B86" s="7" t="n">
        <v>45717</v>
      </c>
      <c r="C86" s="6" t="inlineStr">
        <is>
          <t>West</t>
        </is>
      </c>
      <c r="D86" s="6" t="inlineStr">
        <is>
          <t>High Street</t>
        </is>
      </c>
      <c r="E86" s="8">
        <f>IF(D86="High Street",1,0)</f>
        <v/>
      </c>
      <c r="F86" s="8">
        <f>IF(D86="Airport",1,0)</f>
        <v/>
      </c>
      <c r="G86" s="8">
        <f>IF(D86="Mall",1,0)</f>
        <v/>
      </c>
      <c r="H86" s="8">
        <f>IF(C86="North",1,0)</f>
        <v/>
      </c>
      <c r="I86" s="8">
        <f>IF(C86="South",1,0)</f>
        <v/>
      </c>
      <c r="J86" s="8">
        <f>IF(C86="West",1,0)</f>
        <v/>
      </c>
    </row>
    <row r="87">
      <c r="A87" s="2" t="inlineStr">
        <is>
          <t>STR-1022</t>
        </is>
      </c>
      <c r="B87" s="3" t="n">
        <v>45748</v>
      </c>
      <c r="C87" s="2" t="inlineStr">
        <is>
          <t>West</t>
        </is>
      </c>
      <c r="D87" s="2" t="inlineStr">
        <is>
          <t>High Street</t>
        </is>
      </c>
      <c r="E87" s="5">
        <f>IF(D87="High Street",1,0)</f>
        <v/>
      </c>
      <c r="F87" s="5">
        <f>IF(D87="Airport",1,0)</f>
        <v/>
      </c>
      <c r="G87" s="5">
        <f>IF(D87="Mall",1,0)</f>
        <v/>
      </c>
      <c r="H87" s="5">
        <f>IF(C87="North",1,0)</f>
        <v/>
      </c>
      <c r="I87" s="5">
        <f>IF(C87="South",1,0)</f>
        <v/>
      </c>
      <c r="J87" s="5">
        <f>IF(C87="West",1,0)</f>
        <v/>
      </c>
    </row>
    <row r="88">
      <c r="A88" s="6" t="inlineStr">
        <is>
          <t>STR-1023</t>
        </is>
      </c>
      <c r="B88" s="7" t="n">
        <v>45658</v>
      </c>
      <c r="C88" s="6" t="inlineStr">
        <is>
          <t>South</t>
        </is>
      </c>
      <c r="D88" s="6" t="inlineStr">
        <is>
          <t>Mall</t>
        </is>
      </c>
      <c r="E88" s="8">
        <f>IF(D88="High Street",1,0)</f>
        <v/>
      </c>
      <c r="F88" s="8">
        <f>IF(D88="Airport",1,0)</f>
        <v/>
      </c>
      <c r="G88" s="8">
        <f>IF(D88="Mall",1,0)</f>
        <v/>
      </c>
      <c r="H88" s="8">
        <f>IF(C88="North",1,0)</f>
        <v/>
      </c>
      <c r="I88" s="8">
        <f>IF(C88="South",1,0)</f>
        <v/>
      </c>
      <c r="J88" s="8">
        <f>IF(C88="West",1,0)</f>
        <v/>
      </c>
    </row>
    <row r="89">
      <c r="A89" s="2" t="inlineStr">
        <is>
          <t>STR-1023</t>
        </is>
      </c>
      <c r="B89" s="3" t="n">
        <v>45689</v>
      </c>
      <c r="C89" s="2" t="inlineStr">
        <is>
          <t>South</t>
        </is>
      </c>
      <c r="D89" s="2" t="inlineStr">
        <is>
          <t>Mall</t>
        </is>
      </c>
      <c r="E89" s="5">
        <f>IF(D89="High Street",1,0)</f>
        <v/>
      </c>
      <c r="F89" s="5">
        <f>IF(D89="Airport",1,0)</f>
        <v/>
      </c>
      <c r="G89" s="5">
        <f>IF(D89="Mall",1,0)</f>
        <v/>
      </c>
      <c r="H89" s="5">
        <f>IF(C89="North",1,0)</f>
        <v/>
      </c>
      <c r="I89" s="5">
        <f>IF(C89="South",1,0)</f>
        <v/>
      </c>
      <c r="J89" s="5">
        <f>IF(C89="West",1,0)</f>
        <v/>
      </c>
    </row>
    <row r="90">
      <c r="A90" s="6" t="inlineStr">
        <is>
          <t>STR-1023</t>
        </is>
      </c>
      <c r="B90" s="7" t="n">
        <v>45717</v>
      </c>
      <c r="C90" s="6" t="inlineStr">
        <is>
          <t>South</t>
        </is>
      </c>
      <c r="D90" s="6" t="inlineStr">
        <is>
          <t>Mall</t>
        </is>
      </c>
      <c r="E90" s="8">
        <f>IF(D90="High Street",1,0)</f>
        <v/>
      </c>
      <c r="F90" s="8">
        <f>IF(D90="Airport",1,0)</f>
        <v/>
      </c>
      <c r="G90" s="8">
        <f>IF(D90="Mall",1,0)</f>
        <v/>
      </c>
      <c r="H90" s="8">
        <f>IF(C90="North",1,0)</f>
        <v/>
      </c>
      <c r="I90" s="8">
        <f>IF(C90="South",1,0)</f>
        <v/>
      </c>
      <c r="J90" s="8">
        <f>IF(C90="West",1,0)</f>
        <v/>
      </c>
    </row>
    <row r="91">
      <c r="A91" s="2" t="inlineStr">
        <is>
          <t>STR-1023</t>
        </is>
      </c>
      <c r="B91" s="3" t="n">
        <v>45748</v>
      </c>
      <c r="C91" s="2" t="inlineStr">
        <is>
          <t>South</t>
        </is>
      </c>
      <c r="D91" s="2" t="inlineStr">
        <is>
          <t>Mall</t>
        </is>
      </c>
      <c r="E91" s="5">
        <f>IF(D91="High Street",1,0)</f>
        <v/>
      </c>
      <c r="F91" s="5">
        <f>IF(D91="Airport",1,0)</f>
        <v/>
      </c>
      <c r="G91" s="5">
        <f>IF(D91="Mall",1,0)</f>
        <v/>
      </c>
      <c r="H91" s="5">
        <f>IF(C91="North",1,0)</f>
        <v/>
      </c>
      <c r="I91" s="5">
        <f>IF(C91="South",1,0)</f>
        <v/>
      </c>
      <c r="J91" s="5">
        <f>IF(C91="West",1,0)</f>
        <v/>
      </c>
    </row>
    <row r="92">
      <c r="A92" s="6" t="inlineStr">
        <is>
          <t>STR-1024</t>
        </is>
      </c>
      <c r="B92" s="7" t="n">
        <v>45658</v>
      </c>
      <c r="C92" s="6" t="inlineStr">
        <is>
          <t>West</t>
        </is>
      </c>
      <c r="D92" s="6" t="inlineStr">
        <is>
          <t>Residential</t>
        </is>
      </c>
      <c r="E92" s="8">
        <f>IF(D92="High Street",1,0)</f>
        <v/>
      </c>
      <c r="F92" s="8">
        <f>IF(D92="Airport",1,0)</f>
        <v/>
      </c>
      <c r="G92" s="8">
        <f>IF(D92="Mall",1,0)</f>
        <v/>
      </c>
      <c r="H92" s="8">
        <f>IF(C92="North",1,0)</f>
        <v/>
      </c>
      <c r="I92" s="8">
        <f>IF(C92="South",1,0)</f>
        <v/>
      </c>
      <c r="J92" s="8">
        <f>IF(C92="West",1,0)</f>
        <v/>
      </c>
    </row>
    <row r="93">
      <c r="A93" s="2" t="inlineStr">
        <is>
          <t>STR-1024</t>
        </is>
      </c>
      <c r="B93" s="3" t="n">
        <v>45689</v>
      </c>
      <c r="C93" s="2" t="inlineStr">
        <is>
          <t>West</t>
        </is>
      </c>
      <c r="D93" s="2" t="inlineStr">
        <is>
          <t>Residential</t>
        </is>
      </c>
      <c r="E93" s="5">
        <f>IF(D93="High Street",1,0)</f>
        <v/>
      </c>
      <c r="F93" s="5">
        <f>IF(D93="Airport",1,0)</f>
        <v/>
      </c>
      <c r="G93" s="5">
        <f>IF(D93="Mall",1,0)</f>
        <v/>
      </c>
      <c r="H93" s="5">
        <f>IF(C93="North",1,0)</f>
        <v/>
      </c>
      <c r="I93" s="5">
        <f>IF(C93="South",1,0)</f>
        <v/>
      </c>
      <c r="J93" s="5">
        <f>IF(C93="West",1,0)</f>
        <v/>
      </c>
    </row>
    <row r="94">
      <c r="A94" s="6" t="inlineStr">
        <is>
          <t>STR-1024</t>
        </is>
      </c>
      <c r="B94" s="7" t="n">
        <v>45717</v>
      </c>
      <c r="C94" s="6" t="inlineStr">
        <is>
          <t>West</t>
        </is>
      </c>
      <c r="D94" s="6" t="inlineStr">
        <is>
          <t>Residential</t>
        </is>
      </c>
      <c r="E94" s="8">
        <f>IF(D94="High Street",1,0)</f>
        <v/>
      </c>
      <c r="F94" s="8">
        <f>IF(D94="Airport",1,0)</f>
        <v/>
      </c>
      <c r="G94" s="8">
        <f>IF(D94="Mall",1,0)</f>
        <v/>
      </c>
      <c r="H94" s="8">
        <f>IF(C94="North",1,0)</f>
        <v/>
      </c>
      <c r="I94" s="8">
        <f>IF(C94="South",1,0)</f>
        <v/>
      </c>
      <c r="J94" s="8">
        <f>IF(C94="West",1,0)</f>
        <v/>
      </c>
    </row>
    <row r="95">
      <c r="A95" s="2" t="inlineStr">
        <is>
          <t>STR-1024</t>
        </is>
      </c>
      <c r="B95" s="3" t="n">
        <v>45748</v>
      </c>
      <c r="C95" s="2" t="inlineStr">
        <is>
          <t>West</t>
        </is>
      </c>
      <c r="D95" s="2" t="inlineStr">
        <is>
          <t>Residential</t>
        </is>
      </c>
      <c r="E95" s="5">
        <f>IF(D95="High Street",1,0)</f>
        <v/>
      </c>
      <c r="F95" s="5">
        <f>IF(D95="Airport",1,0)</f>
        <v/>
      </c>
      <c r="G95" s="5">
        <f>IF(D95="Mall",1,0)</f>
        <v/>
      </c>
      <c r="H95" s="5">
        <f>IF(C95="North",1,0)</f>
        <v/>
      </c>
      <c r="I95" s="5">
        <f>IF(C95="South",1,0)</f>
        <v/>
      </c>
      <c r="J95" s="5">
        <f>IF(C95="West",1,0)</f>
        <v/>
      </c>
    </row>
    <row r="96">
      <c r="A96" s="6" t="inlineStr">
        <is>
          <t>STR-1025</t>
        </is>
      </c>
      <c r="B96" s="7" t="n">
        <v>45658</v>
      </c>
      <c r="C96" s="6" t="inlineStr">
        <is>
          <t>West</t>
        </is>
      </c>
      <c r="D96" s="6" t="inlineStr">
        <is>
          <t>Mall</t>
        </is>
      </c>
      <c r="E96" s="8">
        <f>IF(D96="High Street",1,0)</f>
        <v/>
      </c>
      <c r="F96" s="8">
        <f>IF(D96="Airport",1,0)</f>
        <v/>
      </c>
      <c r="G96" s="8">
        <f>IF(D96="Mall",1,0)</f>
        <v/>
      </c>
      <c r="H96" s="8">
        <f>IF(C96="North",1,0)</f>
        <v/>
      </c>
      <c r="I96" s="8">
        <f>IF(C96="South",1,0)</f>
        <v/>
      </c>
      <c r="J96" s="8">
        <f>IF(C96="West",1,0)</f>
        <v/>
      </c>
    </row>
    <row r="97">
      <c r="A97" s="2" t="inlineStr">
        <is>
          <t>STR-1025</t>
        </is>
      </c>
      <c r="B97" s="3" t="n">
        <v>45689</v>
      </c>
      <c r="C97" s="2" t="inlineStr">
        <is>
          <t>West</t>
        </is>
      </c>
      <c r="D97" s="2" t="inlineStr">
        <is>
          <t>Mall</t>
        </is>
      </c>
      <c r="E97" s="5">
        <f>IF(D97="High Street",1,0)</f>
        <v/>
      </c>
      <c r="F97" s="5">
        <f>IF(D97="Airport",1,0)</f>
        <v/>
      </c>
      <c r="G97" s="5">
        <f>IF(D97="Mall",1,0)</f>
        <v/>
      </c>
      <c r="H97" s="5">
        <f>IF(C97="North",1,0)</f>
        <v/>
      </c>
      <c r="I97" s="5">
        <f>IF(C97="South",1,0)</f>
        <v/>
      </c>
      <c r="J97" s="5">
        <f>IF(C97="West",1,0)</f>
        <v/>
      </c>
    </row>
    <row r="98">
      <c r="A98" s="6" t="inlineStr">
        <is>
          <t>STR-1025</t>
        </is>
      </c>
      <c r="B98" s="7" t="n">
        <v>45748</v>
      </c>
      <c r="C98" s="6" t="inlineStr">
        <is>
          <t>West</t>
        </is>
      </c>
      <c r="D98" s="6" t="inlineStr">
        <is>
          <t>Mall</t>
        </is>
      </c>
      <c r="E98" s="8">
        <f>IF(D98="High Street",1,0)</f>
        <v/>
      </c>
      <c r="F98" s="8">
        <f>IF(D98="Airport",1,0)</f>
        <v/>
      </c>
      <c r="G98" s="8">
        <f>IF(D98="Mall",1,0)</f>
        <v/>
      </c>
      <c r="H98" s="8">
        <f>IF(C98="North",1,0)</f>
        <v/>
      </c>
      <c r="I98" s="8">
        <f>IF(C98="South",1,0)</f>
        <v/>
      </c>
      <c r="J98" s="8">
        <f>IF(C98="West",1,0)</f>
        <v/>
      </c>
    </row>
    <row r="99">
      <c r="A99" s="2" t="inlineStr">
        <is>
          <t>STR-1026</t>
        </is>
      </c>
      <c r="B99" s="3" t="n">
        <v>45658</v>
      </c>
      <c r="C99" s="2" t="inlineStr">
        <is>
          <t>East</t>
        </is>
      </c>
      <c r="D99" s="2" t="inlineStr">
        <is>
          <t>Mall</t>
        </is>
      </c>
      <c r="E99" s="5">
        <f>IF(D99="High Street",1,0)</f>
        <v/>
      </c>
      <c r="F99" s="5">
        <f>IF(D99="Airport",1,0)</f>
        <v/>
      </c>
      <c r="G99" s="5">
        <f>IF(D99="Mall",1,0)</f>
        <v/>
      </c>
      <c r="H99" s="5">
        <f>IF(C99="North",1,0)</f>
        <v/>
      </c>
      <c r="I99" s="5">
        <f>IF(C99="South",1,0)</f>
        <v/>
      </c>
      <c r="J99" s="5">
        <f>IF(C99="West",1,0)</f>
        <v/>
      </c>
    </row>
    <row r="100">
      <c r="A100" s="6" t="inlineStr">
        <is>
          <t>STR-1026</t>
        </is>
      </c>
      <c r="B100" s="7" t="n">
        <v>45689</v>
      </c>
      <c r="C100" s="6" t="inlineStr">
        <is>
          <t>East</t>
        </is>
      </c>
      <c r="D100" s="6" t="inlineStr">
        <is>
          <t>Mall</t>
        </is>
      </c>
      <c r="E100" s="8">
        <f>IF(D100="High Street",1,0)</f>
        <v/>
      </c>
      <c r="F100" s="8">
        <f>IF(D100="Airport",1,0)</f>
        <v/>
      </c>
      <c r="G100" s="8">
        <f>IF(D100="Mall",1,0)</f>
        <v/>
      </c>
      <c r="H100" s="8">
        <f>IF(C100="North",1,0)</f>
        <v/>
      </c>
      <c r="I100" s="8">
        <f>IF(C100="South",1,0)</f>
        <v/>
      </c>
      <c r="J100" s="8">
        <f>IF(C100="West",1,0)</f>
        <v/>
      </c>
    </row>
    <row r="101">
      <c r="A101" s="2" t="inlineStr">
        <is>
          <t>STR-1026</t>
        </is>
      </c>
      <c r="B101" s="3" t="n">
        <v>45717</v>
      </c>
      <c r="C101" s="2" t="inlineStr">
        <is>
          <t>East</t>
        </is>
      </c>
      <c r="D101" s="2" t="inlineStr">
        <is>
          <t>Mall</t>
        </is>
      </c>
      <c r="E101" s="5">
        <f>IF(D101="High Street",1,0)</f>
        <v/>
      </c>
      <c r="F101" s="5">
        <f>IF(D101="Airport",1,0)</f>
        <v/>
      </c>
      <c r="G101" s="5">
        <f>IF(D101="Mall",1,0)</f>
        <v/>
      </c>
      <c r="H101" s="5">
        <f>IF(C101="North",1,0)</f>
        <v/>
      </c>
      <c r="I101" s="5">
        <f>IF(C101="South",1,0)</f>
        <v/>
      </c>
      <c r="J101" s="5">
        <f>IF(C101="West",1,0)</f>
        <v/>
      </c>
    </row>
    <row r="102">
      <c r="A102" s="6" t="inlineStr">
        <is>
          <t>STR-1026</t>
        </is>
      </c>
      <c r="B102" s="7" t="n">
        <v>45748</v>
      </c>
      <c r="C102" s="6" t="inlineStr">
        <is>
          <t>East</t>
        </is>
      </c>
      <c r="D102" s="6" t="inlineStr">
        <is>
          <t>Mall</t>
        </is>
      </c>
      <c r="E102" s="8">
        <f>IF(D102="High Street",1,0)</f>
        <v/>
      </c>
      <c r="F102" s="8">
        <f>IF(D102="Airport",1,0)</f>
        <v/>
      </c>
      <c r="G102" s="8">
        <f>IF(D102="Mall",1,0)</f>
        <v/>
      </c>
      <c r="H102" s="8">
        <f>IF(C102="North",1,0)</f>
        <v/>
      </c>
      <c r="I102" s="8">
        <f>IF(C102="South",1,0)</f>
        <v/>
      </c>
      <c r="J102" s="8">
        <f>IF(C102="West",1,0)</f>
        <v/>
      </c>
    </row>
    <row r="103">
      <c r="A103" s="2" t="inlineStr">
        <is>
          <t>STR-1027</t>
        </is>
      </c>
      <c r="B103" s="3" t="n">
        <v>45658</v>
      </c>
      <c r="C103" s="2" t="inlineStr">
        <is>
          <t>West</t>
        </is>
      </c>
      <c r="D103" s="2" t="inlineStr">
        <is>
          <t>High Street</t>
        </is>
      </c>
      <c r="E103" s="5">
        <f>IF(D103="High Street",1,0)</f>
        <v/>
      </c>
      <c r="F103" s="5">
        <f>IF(D103="Airport",1,0)</f>
        <v/>
      </c>
      <c r="G103" s="5">
        <f>IF(D103="Mall",1,0)</f>
        <v/>
      </c>
      <c r="H103" s="5">
        <f>IF(C103="North",1,0)</f>
        <v/>
      </c>
      <c r="I103" s="5">
        <f>IF(C103="South",1,0)</f>
        <v/>
      </c>
      <c r="J103" s="5">
        <f>IF(C103="West",1,0)</f>
        <v/>
      </c>
    </row>
    <row r="104">
      <c r="A104" s="6" t="inlineStr">
        <is>
          <t>STR-1027</t>
        </is>
      </c>
      <c r="B104" s="7" t="n">
        <v>45689</v>
      </c>
      <c r="C104" s="6" t="inlineStr">
        <is>
          <t>West</t>
        </is>
      </c>
      <c r="D104" s="6" t="inlineStr">
        <is>
          <t>High Street</t>
        </is>
      </c>
      <c r="E104" s="8">
        <f>IF(D104="High Street",1,0)</f>
        <v/>
      </c>
      <c r="F104" s="8">
        <f>IF(D104="Airport",1,0)</f>
        <v/>
      </c>
      <c r="G104" s="8">
        <f>IF(D104="Mall",1,0)</f>
        <v/>
      </c>
      <c r="H104" s="8">
        <f>IF(C104="North",1,0)</f>
        <v/>
      </c>
      <c r="I104" s="8">
        <f>IF(C104="South",1,0)</f>
        <v/>
      </c>
      <c r="J104" s="8">
        <f>IF(C104="West",1,0)</f>
        <v/>
      </c>
    </row>
    <row r="105">
      <c r="A105" s="2" t="inlineStr">
        <is>
          <t>STR-1027</t>
        </is>
      </c>
      <c r="B105" s="3" t="n">
        <v>45717</v>
      </c>
      <c r="C105" s="2" t="inlineStr">
        <is>
          <t>West</t>
        </is>
      </c>
      <c r="D105" s="2" t="inlineStr">
        <is>
          <t>High Street</t>
        </is>
      </c>
      <c r="E105" s="5">
        <f>IF(D105="High Street",1,0)</f>
        <v/>
      </c>
      <c r="F105" s="5">
        <f>IF(D105="Airport",1,0)</f>
        <v/>
      </c>
      <c r="G105" s="5">
        <f>IF(D105="Mall",1,0)</f>
        <v/>
      </c>
      <c r="H105" s="5">
        <f>IF(C105="North",1,0)</f>
        <v/>
      </c>
      <c r="I105" s="5">
        <f>IF(C105="South",1,0)</f>
        <v/>
      </c>
      <c r="J105" s="5">
        <f>IF(C105="West",1,0)</f>
        <v/>
      </c>
    </row>
    <row r="106">
      <c r="A106" s="6" t="inlineStr">
        <is>
          <t>STR-1027</t>
        </is>
      </c>
      <c r="B106" s="7" t="n">
        <v>45748</v>
      </c>
      <c r="C106" s="6" t="inlineStr">
        <is>
          <t>West</t>
        </is>
      </c>
      <c r="D106" s="6" t="inlineStr">
        <is>
          <t>High Street</t>
        </is>
      </c>
      <c r="E106" s="8">
        <f>IF(D106="High Street",1,0)</f>
        <v/>
      </c>
      <c r="F106" s="8">
        <f>IF(D106="Airport",1,0)</f>
        <v/>
      </c>
      <c r="G106" s="8">
        <f>IF(D106="Mall",1,0)</f>
        <v/>
      </c>
      <c r="H106" s="8">
        <f>IF(C106="North",1,0)</f>
        <v/>
      </c>
      <c r="I106" s="8">
        <f>IF(C106="South",1,0)</f>
        <v/>
      </c>
      <c r="J106" s="8">
        <f>IF(C106="West",1,0)</f>
        <v/>
      </c>
    </row>
    <row r="107">
      <c r="A107" s="2" t="inlineStr">
        <is>
          <t>STR-1028</t>
        </is>
      </c>
      <c r="B107" s="3" t="n">
        <v>45658</v>
      </c>
      <c r="C107" s="2" t="inlineStr">
        <is>
          <t>East</t>
        </is>
      </c>
      <c r="D107" s="2" t="inlineStr">
        <is>
          <t>Mall</t>
        </is>
      </c>
      <c r="E107" s="5">
        <f>IF(D107="High Street",1,0)</f>
        <v/>
      </c>
      <c r="F107" s="5">
        <f>IF(D107="Airport",1,0)</f>
        <v/>
      </c>
      <c r="G107" s="5">
        <f>IF(D107="Mall",1,0)</f>
        <v/>
      </c>
      <c r="H107" s="5">
        <f>IF(C107="North",1,0)</f>
        <v/>
      </c>
      <c r="I107" s="5">
        <f>IF(C107="South",1,0)</f>
        <v/>
      </c>
      <c r="J107" s="5">
        <f>IF(C107="West",1,0)</f>
        <v/>
      </c>
    </row>
    <row r="108">
      <c r="A108" s="6" t="inlineStr">
        <is>
          <t>STR-1028</t>
        </is>
      </c>
      <c r="B108" s="7" t="n">
        <v>45689</v>
      </c>
      <c r="C108" s="6" t="inlineStr">
        <is>
          <t>East</t>
        </is>
      </c>
      <c r="D108" s="6" t="inlineStr">
        <is>
          <t>Mall</t>
        </is>
      </c>
      <c r="E108" s="8">
        <f>IF(D108="High Street",1,0)</f>
        <v/>
      </c>
      <c r="F108" s="8">
        <f>IF(D108="Airport",1,0)</f>
        <v/>
      </c>
      <c r="G108" s="8">
        <f>IF(D108="Mall",1,0)</f>
        <v/>
      </c>
      <c r="H108" s="8">
        <f>IF(C108="North",1,0)</f>
        <v/>
      </c>
      <c r="I108" s="8">
        <f>IF(C108="South",1,0)</f>
        <v/>
      </c>
      <c r="J108" s="8">
        <f>IF(C108="West",1,0)</f>
        <v/>
      </c>
    </row>
    <row r="109">
      <c r="A109" s="2" t="inlineStr">
        <is>
          <t>STR-1028</t>
        </is>
      </c>
      <c r="B109" s="3" t="n">
        <v>45717</v>
      </c>
      <c r="C109" s="2" t="inlineStr">
        <is>
          <t>East</t>
        </is>
      </c>
      <c r="D109" s="2" t="inlineStr">
        <is>
          <t>Mall</t>
        </is>
      </c>
      <c r="E109" s="5">
        <f>IF(D109="High Street",1,0)</f>
        <v/>
      </c>
      <c r="F109" s="5">
        <f>IF(D109="Airport",1,0)</f>
        <v/>
      </c>
      <c r="G109" s="5">
        <f>IF(D109="Mall",1,0)</f>
        <v/>
      </c>
      <c r="H109" s="5">
        <f>IF(C109="North",1,0)</f>
        <v/>
      </c>
      <c r="I109" s="5">
        <f>IF(C109="South",1,0)</f>
        <v/>
      </c>
      <c r="J109" s="5">
        <f>IF(C109="West",1,0)</f>
        <v/>
      </c>
    </row>
    <row r="110">
      <c r="A110" s="6" t="inlineStr">
        <is>
          <t>STR-1028</t>
        </is>
      </c>
      <c r="B110" s="7" t="n">
        <v>45748</v>
      </c>
      <c r="C110" s="6" t="inlineStr">
        <is>
          <t>East</t>
        </is>
      </c>
      <c r="D110" s="6" t="inlineStr">
        <is>
          <t>Mall</t>
        </is>
      </c>
      <c r="E110" s="8">
        <f>IF(D110="High Street",1,0)</f>
        <v/>
      </c>
      <c r="F110" s="8">
        <f>IF(D110="Airport",1,0)</f>
        <v/>
      </c>
      <c r="G110" s="8">
        <f>IF(D110="Mall",1,0)</f>
        <v/>
      </c>
      <c r="H110" s="8">
        <f>IF(C110="North",1,0)</f>
        <v/>
      </c>
      <c r="I110" s="8">
        <f>IF(C110="South",1,0)</f>
        <v/>
      </c>
      <c r="J110" s="8">
        <f>IF(C110="West",1,0)</f>
        <v/>
      </c>
    </row>
    <row r="111">
      <c r="A111" s="2" t="inlineStr">
        <is>
          <t>STR-1029</t>
        </is>
      </c>
      <c r="B111" s="3" t="n">
        <v>45658</v>
      </c>
      <c r="C111" s="2" t="inlineStr">
        <is>
          <t>West</t>
        </is>
      </c>
      <c r="D111" s="2" t="inlineStr">
        <is>
          <t>Mall</t>
        </is>
      </c>
      <c r="E111" s="5">
        <f>IF(D111="High Street",1,0)</f>
        <v/>
      </c>
      <c r="F111" s="5">
        <f>IF(D111="Airport",1,0)</f>
        <v/>
      </c>
      <c r="G111" s="5">
        <f>IF(D111="Mall",1,0)</f>
        <v/>
      </c>
      <c r="H111" s="5">
        <f>IF(C111="North",1,0)</f>
        <v/>
      </c>
      <c r="I111" s="5">
        <f>IF(C111="South",1,0)</f>
        <v/>
      </c>
      <c r="J111" s="5">
        <f>IF(C111="West",1,0)</f>
        <v/>
      </c>
    </row>
    <row r="112">
      <c r="A112" s="6" t="inlineStr">
        <is>
          <t>STR-1029</t>
        </is>
      </c>
      <c r="B112" s="7" t="n">
        <v>45689</v>
      </c>
      <c r="C112" s="6" t="inlineStr">
        <is>
          <t>West</t>
        </is>
      </c>
      <c r="D112" s="6" t="inlineStr">
        <is>
          <t>Mall</t>
        </is>
      </c>
      <c r="E112" s="8">
        <f>IF(D112="High Street",1,0)</f>
        <v/>
      </c>
      <c r="F112" s="8">
        <f>IF(D112="Airport",1,0)</f>
        <v/>
      </c>
      <c r="G112" s="8">
        <f>IF(D112="Mall",1,0)</f>
        <v/>
      </c>
      <c r="H112" s="8">
        <f>IF(C112="North",1,0)</f>
        <v/>
      </c>
      <c r="I112" s="8">
        <f>IF(C112="South",1,0)</f>
        <v/>
      </c>
      <c r="J112" s="8">
        <f>IF(C112="West",1,0)</f>
        <v/>
      </c>
    </row>
    <row r="113">
      <c r="A113" s="2" t="inlineStr">
        <is>
          <t>STR-1029</t>
        </is>
      </c>
      <c r="B113" s="3" t="n">
        <v>45717</v>
      </c>
      <c r="C113" s="2" t="inlineStr">
        <is>
          <t>West</t>
        </is>
      </c>
      <c r="D113" s="2" t="inlineStr">
        <is>
          <t>Mall</t>
        </is>
      </c>
      <c r="E113" s="5">
        <f>IF(D113="High Street",1,0)</f>
        <v/>
      </c>
      <c r="F113" s="5">
        <f>IF(D113="Airport",1,0)</f>
        <v/>
      </c>
      <c r="G113" s="5">
        <f>IF(D113="Mall",1,0)</f>
        <v/>
      </c>
      <c r="H113" s="5">
        <f>IF(C113="North",1,0)</f>
        <v/>
      </c>
      <c r="I113" s="5">
        <f>IF(C113="South",1,0)</f>
        <v/>
      </c>
      <c r="J113" s="5">
        <f>IF(C113="West",1,0)</f>
        <v/>
      </c>
    </row>
    <row r="114">
      <c r="A114" s="6" t="inlineStr">
        <is>
          <t>STR-1029</t>
        </is>
      </c>
      <c r="B114" s="7" t="n">
        <v>45748</v>
      </c>
      <c r="C114" s="6" t="inlineStr">
        <is>
          <t>West</t>
        </is>
      </c>
      <c r="D114" s="6" t="inlineStr">
        <is>
          <t>Mall</t>
        </is>
      </c>
      <c r="E114" s="8">
        <f>IF(D114="High Street",1,0)</f>
        <v/>
      </c>
      <c r="F114" s="8">
        <f>IF(D114="Airport",1,0)</f>
        <v/>
      </c>
      <c r="G114" s="8">
        <f>IF(D114="Mall",1,0)</f>
        <v/>
      </c>
      <c r="H114" s="8">
        <f>IF(C114="North",1,0)</f>
        <v/>
      </c>
      <c r="I114" s="8">
        <f>IF(C114="South",1,0)</f>
        <v/>
      </c>
      <c r="J114" s="8">
        <f>IF(C114="West",1,0)</f>
        <v/>
      </c>
    </row>
    <row r="115">
      <c r="A115" s="2" t="inlineStr">
        <is>
          <t>STR-1030</t>
        </is>
      </c>
      <c r="B115" s="3" t="n">
        <v>45658</v>
      </c>
      <c r="C115" s="2" t="inlineStr">
        <is>
          <t>West</t>
        </is>
      </c>
      <c r="D115" s="2" t="inlineStr">
        <is>
          <t>Residential</t>
        </is>
      </c>
      <c r="E115" s="5">
        <f>IF(D115="High Street",1,0)</f>
        <v/>
      </c>
      <c r="F115" s="5">
        <f>IF(D115="Airport",1,0)</f>
        <v/>
      </c>
      <c r="G115" s="5">
        <f>IF(D115="Mall",1,0)</f>
        <v/>
      </c>
      <c r="H115" s="5">
        <f>IF(C115="North",1,0)</f>
        <v/>
      </c>
      <c r="I115" s="5">
        <f>IF(C115="South",1,0)</f>
        <v/>
      </c>
      <c r="J115" s="5">
        <f>IF(C115="West",1,0)</f>
        <v/>
      </c>
    </row>
    <row r="116">
      <c r="A116" s="6" t="inlineStr">
        <is>
          <t>STR-1030</t>
        </is>
      </c>
      <c r="B116" s="7" t="n">
        <v>45689</v>
      </c>
      <c r="C116" s="6" t="inlineStr">
        <is>
          <t>West</t>
        </is>
      </c>
      <c r="D116" s="6" t="inlineStr">
        <is>
          <t>Residential</t>
        </is>
      </c>
      <c r="E116" s="8">
        <f>IF(D116="High Street",1,0)</f>
        <v/>
      </c>
      <c r="F116" s="8">
        <f>IF(D116="Airport",1,0)</f>
        <v/>
      </c>
      <c r="G116" s="8">
        <f>IF(D116="Mall",1,0)</f>
        <v/>
      </c>
      <c r="H116" s="8">
        <f>IF(C116="North",1,0)</f>
        <v/>
      </c>
      <c r="I116" s="8">
        <f>IF(C116="South",1,0)</f>
        <v/>
      </c>
      <c r="J116" s="8">
        <f>IF(C116="West",1,0)</f>
        <v/>
      </c>
    </row>
    <row r="117">
      <c r="A117" s="2" t="inlineStr">
        <is>
          <t>STR-1030</t>
        </is>
      </c>
      <c r="B117" s="3" t="n">
        <v>45717</v>
      </c>
      <c r="C117" s="2" t="inlineStr">
        <is>
          <t>West</t>
        </is>
      </c>
      <c r="D117" s="2" t="inlineStr">
        <is>
          <t>Residential</t>
        </is>
      </c>
      <c r="E117" s="5">
        <f>IF(D117="High Street",1,0)</f>
        <v/>
      </c>
      <c r="F117" s="5">
        <f>IF(D117="Airport",1,0)</f>
        <v/>
      </c>
      <c r="G117" s="5">
        <f>IF(D117="Mall",1,0)</f>
        <v/>
      </c>
      <c r="H117" s="5">
        <f>IF(C117="North",1,0)</f>
        <v/>
      </c>
      <c r="I117" s="5">
        <f>IF(C117="South",1,0)</f>
        <v/>
      </c>
      <c r="J117" s="5">
        <f>IF(C117="West",1,0)</f>
        <v/>
      </c>
    </row>
    <row r="118">
      <c r="A118" s="6" t="inlineStr">
        <is>
          <t>STR-1030</t>
        </is>
      </c>
      <c r="B118" s="7" t="n">
        <v>45748</v>
      </c>
      <c r="C118" s="6" t="inlineStr">
        <is>
          <t>West</t>
        </is>
      </c>
      <c r="D118" s="6" t="inlineStr">
        <is>
          <t>Residential</t>
        </is>
      </c>
      <c r="E118" s="8">
        <f>IF(D118="High Street",1,0)</f>
        <v/>
      </c>
      <c r="F118" s="8">
        <f>IF(D118="Airport",1,0)</f>
        <v/>
      </c>
      <c r="G118" s="8">
        <f>IF(D118="Mall",1,0)</f>
        <v/>
      </c>
      <c r="H118" s="8">
        <f>IF(C118="North",1,0)</f>
        <v/>
      </c>
      <c r="I118" s="8">
        <f>IF(C118="South",1,0)</f>
        <v/>
      </c>
      <c r="J118" s="8">
        <f>IF(C118="West",1,0)</f>
        <v/>
      </c>
    </row>
    <row r="119">
      <c r="A119" s="2" t="inlineStr">
        <is>
          <t>STR-1031</t>
        </is>
      </c>
      <c r="B119" s="3" t="n">
        <v>45658</v>
      </c>
      <c r="C119" s="2" t="inlineStr">
        <is>
          <t>North</t>
        </is>
      </c>
      <c r="D119" s="2" t="inlineStr">
        <is>
          <t>High Street</t>
        </is>
      </c>
      <c r="E119" s="5">
        <f>IF(D119="High Street",1,0)</f>
        <v/>
      </c>
      <c r="F119" s="5">
        <f>IF(D119="Airport",1,0)</f>
        <v/>
      </c>
      <c r="G119" s="5">
        <f>IF(D119="Mall",1,0)</f>
        <v/>
      </c>
      <c r="H119" s="5">
        <f>IF(C119="North",1,0)</f>
        <v/>
      </c>
      <c r="I119" s="5">
        <f>IF(C119="South",1,0)</f>
        <v/>
      </c>
      <c r="J119" s="5">
        <f>IF(C119="West",1,0)</f>
        <v/>
      </c>
    </row>
    <row r="120">
      <c r="A120" s="6" t="inlineStr">
        <is>
          <t>STR-1031</t>
        </is>
      </c>
      <c r="B120" s="7" t="n">
        <v>45689</v>
      </c>
      <c r="C120" s="6" t="inlineStr">
        <is>
          <t>North</t>
        </is>
      </c>
      <c r="D120" s="6" t="inlineStr">
        <is>
          <t>High Street</t>
        </is>
      </c>
      <c r="E120" s="8">
        <f>IF(D120="High Street",1,0)</f>
        <v/>
      </c>
      <c r="F120" s="8">
        <f>IF(D120="Airport",1,0)</f>
        <v/>
      </c>
      <c r="G120" s="8">
        <f>IF(D120="Mall",1,0)</f>
        <v/>
      </c>
      <c r="H120" s="8">
        <f>IF(C120="North",1,0)</f>
        <v/>
      </c>
      <c r="I120" s="8">
        <f>IF(C120="South",1,0)</f>
        <v/>
      </c>
      <c r="J120" s="8">
        <f>IF(C120="West",1,0)</f>
        <v/>
      </c>
    </row>
    <row r="121">
      <c r="A121" s="2" t="inlineStr">
        <is>
          <t>STR-1031</t>
        </is>
      </c>
      <c r="B121" s="3" t="n">
        <v>45717</v>
      </c>
      <c r="C121" s="2" t="inlineStr">
        <is>
          <t>North</t>
        </is>
      </c>
      <c r="D121" s="2" t="inlineStr">
        <is>
          <t>High Street</t>
        </is>
      </c>
      <c r="E121" s="5">
        <f>IF(D121="High Street",1,0)</f>
        <v/>
      </c>
      <c r="F121" s="5">
        <f>IF(D121="Airport",1,0)</f>
        <v/>
      </c>
      <c r="G121" s="5">
        <f>IF(D121="Mall",1,0)</f>
        <v/>
      </c>
      <c r="H121" s="5">
        <f>IF(C121="North",1,0)</f>
        <v/>
      </c>
      <c r="I121" s="5">
        <f>IF(C121="South",1,0)</f>
        <v/>
      </c>
      <c r="J121" s="5">
        <f>IF(C121="West",1,0)</f>
        <v/>
      </c>
    </row>
    <row r="122">
      <c r="A122" s="6" t="inlineStr">
        <is>
          <t>STR-1031</t>
        </is>
      </c>
      <c r="B122" s="7" t="n">
        <v>45748</v>
      </c>
      <c r="C122" s="6" t="inlineStr">
        <is>
          <t>North</t>
        </is>
      </c>
      <c r="D122" s="6" t="inlineStr">
        <is>
          <t>High Street</t>
        </is>
      </c>
      <c r="E122" s="8">
        <f>IF(D122="High Street",1,0)</f>
        <v/>
      </c>
      <c r="F122" s="8">
        <f>IF(D122="Airport",1,0)</f>
        <v/>
      </c>
      <c r="G122" s="8">
        <f>IF(D122="Mall",1,0)</f>
        <v/>
      </c>
      <c r="H122" s="8">
        <f>IF(C122="North",1,0)</f>
        <v/>
      </c>
      <c r="I122" s="8">
        <f>IF(C122="South",1,0)</f>
        <v/>
      </c>
      <c r="J122" s="8">
        <f>IF(C122="West",1,0)</f>
        <v/>
      </c>
    </row>
    <row r="123">
      <c r="A123" s="2" t="inlineStr">
        <is>
          <t>STR-1032</t>
        </is>
      </c>
      <c r="B123" s="3" t="n">
        <v>45658</v>
      </c>
      <c r="C123" s="2" t="inlineStr">
        <is>
          <t>South</t>
        </is>
      </c>
      <c r="D123" s="2" t="inlineStr">
        <is>
          <t>High Street</t>
        </is>
      </c>
      <c r="E123" s="5">
        <f>IF(D123="High Street",1,0)</f>
        <v/>
      </c>
      <c r="F123" s="5">
        <f>IF(D123="Airport",1,0)</f>
        <v/>
      </c>
      <c r="G123" s="5">
        <f>IF(D123="Mall",1,0)</f>
        <v/>
      </c>
      <c r="H123" s="5">
        <f>IF(C123="North",1,0)</f>
        <v/>
      </c>
      <c r="I123" s="5">
        <f>IF(C123="South",1,0)</f>
        <v/>
      </c>
      <c r="J123" s="5">
        <f>IF(C123="West",1,0)</f>
        <v/>
      </c>
    </row>
    <row r="124">
      <c r="A124" s="6" t="inlineStr">
        <is>
          <t>STR-1032</t>
        </is>
      </c>
      <c r="B124" s="7" t="n">
        <v>45689</v>
      </c>
      <c r="C124" s="6" t="inlineStr">
        <is>
          <t>South</t>
        </is>
      </c>
      <c r="D124" s="6" t="inlineStr">
        <is>
          <t>High Street</t>
        </is>
      </c>
      <c r="E124" s="8">
        <f>IF(D124="High Street",1,0)</f>
        <v/>
      </c>
      <c r="F124" s="8">
        <f>IF(D124="Airport",1,0)</f>
        <v/>
      </c>
      <c r="G124" s="8">
        <f>IF(D124="Mall",1,0)</f>
        <v/>
      </c>
      <c r="H124" s="8">
        <f>IF(C124="North",1,0)</f>
        <v/>
      </c>
      <c r="I124" s="8">
        <f>IF(C124="South",1,0)</f>
        <v/>
      </c>
      <c r="J124" s="8">
        <f>IF(C124="West",1,0)</f>
        <v/>
      </c>
    </row>
    <row r="125">
      <c r="A125" s="2" t="inlineStr">
        <is>
          <t>STR-1032</t>
        </is>
      </c>
      <c r="B125" s="3" t="n">
        <v>45717</v>
      </c>
      <c r="C125" s="2" t="inlineStr">
        <is>
          <t>South</t>
        </is>
      </c>
      <c r="D125" s="2" t="inlineStr">
        <is>
          <t>High Street</t>
        </is>
      </c>
      <c r="E125" s="5">
        <f>IF(D125="High Street",1,0)</f>
        <v/>
      </c>
      <c r="F125" s="5">
        <f>IF(D125="Airport",1,0)</f>
        <v/>
      </c>
      <c r="G125" s="5">
        <f>IF(D125="Mall",1,0)</f>
        <v/>
      </c>
      <c r="H125" s="5">
        <f>IF(C125="North",1,0)</f>
        <v/>
      </c>
      <c r="I125" s="5">
        <f>IF(C125="South",1,0)</f>
        <v/>
      </c>
      <c r="J125" s="5">
        <f>IF(C125="West",1,0)</f>
        <v/>
      </c>
    </row>
    <row r="126">
      <c r="A126" s="6" t="inlineStr">
        <is>
          <t>STR-1032</t>
        </is>
      </c>
      <c r="B126" s="7" t="n">
        <v>45748</v>
      </c>
      <c r="C126" s="6" t="inlineStr">
        <is>
          <t>South</t>
        </is>
      </c>
      <c r="D126" s="6" t="inlineStr">
        <is>
          <t>High Street</t>
        </is>
      </c>
      <c r="E126" s="8">
        <f>IF(D126="High Street",1,0)</f>
        <v/>
      </c>
      <c r="F126" s="8">
        <f>IF(D126="Airport",1,0)</f>
        <v/>
      </c>
      <c r="G126" s="8">
        <f>IF(D126="Mall",1,0)</f>
        <v/>
      </c>
      <c r="H126" s="8">
        <f>IF(C126="North",1,0)</f>
        <v/>
      </c>
      <c r="I126" s="8">
        <f>IF(C126="South",1,0)</f>
        <v/>
      </c>
      <c r="J126" s="8">
        <f>IF(C126="West",1,0)</f>
        <v/>
      </c>
    </row>
    <row r="127">
      <c r="A127" s="2" t="inlineStr">
        <is>
          <t>STR-1033</t>
        </is>
      </c>
      <c r="B127" s="3" t="n">
        <v>45658</v>
      </c>
      <c r="C127" s="2" t="inlineStr">
        <is>
          <t>East</t>
        </is>
      </c>
      <c r="D127" s="2" t="inlineStr">
        <is>
          <t>High Street</t>
        </is>
      </c>
      <c r="E127" s="5">
        <f>IF(D127="High Street",1,0)</f>
        <v/>
      </c>
      <c r="F127" s="5">
        <f>IF(D127="Airport",1,0)</f>
        <v/>
      </c>
      <c r="G127" s="5">
        <f>IF(D127="Mall",1,0)</f>
        <v/>
      </c>
      <c r="H127" s="5">
        <f>IF(C127="North",1,0)</f>
        <v/>
      </c>
      <c r="I127" s="5">
        <f>IF(C127="South",1,0)</f>
        <v/>
      </c>
      <c r="J127" s="5">
        <f>IF(C127="West",1,0)</f>
        <v/>
      </c>
    </row>
    <row r="128">
      <c r="A128" s="6" t="inlineStr">
        <is>
          <t>STR-1033</t>
        </is>
      </c>
      <c r="B128" s="7" t="n">
        <v>45689</v>
      </c>
      <c r="C128" s="6" t="inlineStr">
        <is>
          <t>East</t>
        </is>
      </c>
      <c r="D128" s="6" t="inlineStr">
        <is>
          <t>High Street</t>
        </is>
      </c>
      <c r="E128" s="8">
        <f>IF(D128="High Street",1,0)</f>
        <v/>
      </c>
      <c r="F128" s="8">
        <f>IF(D128="Airport",1,0)</f>
        <v/>
      </c>
      <c r="G128" s="8">
        <f>IF(D128="Mall",1,0)</f>
        <v/>
      </c>
      <c r="H128" s="8">
        <f>IF(C128="North",1,0)</f>
        <v/>
      </c>
      <c r="I128" s="8">
        <f>IF(C128="South",1,0)</f>
        <v/>
      </c>
      <c r="J128" s="8">
        <f>IF(C128="West",1,0)</f>
        <v/>
      </c>
    </row>
    <row r="129">
      <c r="A129" s="2" t="inlineStr">
        <is>
          <t>STR-1033</t>
        </is>
      </c>
      <c r="B129" s="3" t="n">
        <v>45717</v>
      </c>
      <c r="C129" s="2" t="inlineStr">
        <is>
          <t>East</t>
        </is>
      </c>
      <c r="D129" s="2" t="inlineStr">
        <is>
          <t>High Street</t>
        </is>
      </c>
      <c r="E129" s="5">
        <f>IF(D129="High Street",1,0)</f>
        <v/>
      </c>
      <c r="F129" s="5">
        <f>IF(D129="Airport",1,0)</f>
        <v/>
      </c>
      <c r="G129" s="5">
        <f>IF(D129="Mall",1,0)</f>
        <v/>
      </c>
      <c r="H129" s="5">
        <f>IF(C129="North",1,0)</f>
        <v/>
      </c>
      <c r="I129" s="5">
        <f>IF(C129="South",1,0)</f>
        <v/>
      </c>
      <c r="J129" s="5">
        <f>IF(C129="West",1,0)</f>
        <v/>
      </c>
    </row>
    <row r="130">
      <c r="A130" s="6" t="inlineStr">
        <is>
          <t>STR-1033</t>
        </is>
      </c>
      <c r="B130" s="7" t="n">
        <v>45748</v>
      </c>
      <c r="C130" s="6" t="inlineStr">
        <is>
          <t>East</t>
        </is>
      </c>
      <c r="D130" s="6" t="inlineStr">
        <is>
          <t>High Street</t>
        </is>
      </c>
      <c r="E130" s="8">
        <f>IF(D130="High Street",1,0)</f>
        <v/>
      </c>
      <c r="F130" s="8">
        <f>IF(D130="Airport",1,0)</f>
        <v/>
      </c>
      <c r="G130" s="8">
        <f>IF(D130="Mall",1,0)</f>
        <v/>
      </c>
      <c r="H130" s="8">
        <f>IF(C130="North",1,0)</f>
        <v/>
      </c>
      <c r="I130" s="8">
        <f>IF(C130="South",1,0)</f>
        <v/>
      </c>
      <c r="J130" s="8">
        <f>IF(C130="West",1,0)</f>
        <v/>
      </c>
    </row>
    <row r="131">
      <c r="A131" s="2" t="inlineStr">
        <is>
          <t>STR-1034</t>
        </is>
      </c>
      <c r="B131" s="3" t="n">
        <v>45658</v>
      </c>
      <c r="C131" s="2" t="inlineStr">
        <is>
          <t>North</t>
        </is>
      </c>
      <c r="D131" s="2" t="inlineStr">
        <is>
          <t>High Street</t>
        </is>
      </c>
      <c r="E131" s="5">
        <f>IF(D131="High Street",1,0)</f>
        <v/>
      </c>
      <c r="F131" s="5">
        <f>IF(D131="Airport",1,0)</f>
        <v/>
      </c>
      <c r="G131" s="5">
        <f>IF(D131="Mall",1,0)</f>
        <v/>
      </c>
      <c r="H131" s="5">
        <f>IF(C131="North",1,0)</f>
        <v/>
      </c>
      <c r="I131" s="5">
        <f>IF(C131="South",1,0)</f>
        <v/>
      </c>
      <c r="J131" s="5">
        <f>IF(C131="West",1,0)</f>
        <v/>
      </c>
    </row>
    <row r="132">
      <c r="A132" s="6" t="inlineStr">
        <is>
          <t>STR-1034</t>
        </is>
      </c>
      <c r="B132" s="7" t="n">
        <v>45717</v>
      </c>
      <c r="C132" s="6" t="inlineStr">
        <is>
          <t>North</t>
        </is>
      </c>
      <c r="D132" s="6" t="inlineStr">
        <is>
          <t>High Street</t>
        </is>
      </c>
      <c r="E132" s="8">
        <f>IF(D132="High Street",1,0)</f>
        <v/>
      </c>
      <c r="F132" s="8">
        <f>IF(D132="Airport",1,0)</f>
        <v/>
      </c>
      <c r="G132" s="8">
        <f>IF(D132="Mall",1,0)</f>
        <v/>
      </c>
      <c r="H132" s="8">
        <f>IF(C132="North",1,0)</f>
        <v/>
      </c>
      <c r="I132" s="8">
        <f>IF(C132="South",1,0)</f>
        <v/>
      </c>
      <c r="J132" s="8">
        <f>IF(C132="West",1,0)</f>
        <v/>
      </c>
    </row>
    <row r="133">
      <c r="A133" s="2" t="inlineStr">
        <is>
          <t>STR-1034</t>
        </is>
      </c>
      <c r="B133" s="3" t="n">
        <v>45748</v>
      </c>
      <c r="C133" s="2" t="inlineStr">
        <is>
          <t>North</t>
        </is>
      </c>
      <c r="D133" s="2" t="inlineStr">
        <is>
          <t>High Street</t>
        </is>
      </c>
      <c r="E133" s="5">
        <f>IF(D133="High Street",1,0)</f>
        <v/>
      </c>
      <c r="F133" s="5">
        <f>IF(D133="Airport",1,0)</f>
        <v/>
      </c>
      <c r="G133" s="5">
        <f>IF(D133="Mall",1,0)</f>
        <v/>
      </c>
      <c r="H133" s="5">
        <f>IF(C133="North",1,0)</f>
        <v/>
      </c>
      <c r="I133" s="5">
        <f>IF(C133="South",1,0)</f>
        <v/>
      </c>
      <c r="J133" s="5">
        <f>IF(C133="West",1,0)</f>
        <v/>
      </c>
    </row>
    <row r="134">
      <c r="A134" s="6" t="inlineStr">
        <is>
          <t>STR-1035</t>
        </is>
      </c>
      <c r="B134" s="7" t="n">
        <v>45689</v>
      </c>
      <c r="C134" s="6" t="inlineStr">
        <is>
          <t>South</t>
        </is>
      </c>
      <c r="D134" s="6" t="inlineStr">
        <is>
          <t>Residential</t>
        </is>
      </c>
      <c r="E134" s="8">
        <f>IF(D134="High Street",1,0)</f>
        <v/>
      </c>
      <c r="F134" s="8">
        <f>IF(D134="Airport",1,0)</f>
        <v/>
      </c>
      <c r="G134" s="8">
        <f>IF(D134="Mall",1,0)</f>
        <v/>
      </c>
      <c r="H134" s="8">
        <f>IF(C134="North",1,0)</f>
        <v/>
      </c>
      <c r="I134" s="8">
        <f>IF(C134="South",1,0)</f>
        <v/>
      </c>
      <c r="J134" s="8">
        <f>IF(C134="West",1,0)</f>
        <v/>
      </c>
    </row>
    <row r="135">
      <c r="A135" s="2" t="inlineStr">
        <is>
          <t>STR-1035</t>
        </is>
      </c>
      <c r="B135" s="3" t="n">
        <v>45717</v>
      </c>
      <c r="C135" s="2" t="inlineStr">
        <is>
          <t>South</t>
        </is>
      </c>
      <c r="D135" s="2" t="inlineStr">
        <is>
          <t>Residential</t>
        </is>
      </c>
      <c r="E135" s="5">
        <f>IF(D135="High Street",1,0)</f>
        <v/>
      </c>
      <c r="F135" s="5">
        <f>IF(D135="Airport",1,0)</f>
        <v/>
      </c>
      <c r="G135" s="5">
        <f>IF(D135="Mall",1,0)</f>
        <v/>
      </c>
      <c r="H135" s="5">
        <f>IF(C135="North",1,0)</f>
        <v/>
      </c>
      <c r="I135" s="5">
        <f>IF(C135="South",1,0)</f>
        <v/>
      </c>
      <c r="J135" s="5">
        <f>IF(C135="West",1,0)</f>
        <v/>
      </c>
    </row>
    <row r="136">
      <c r="A136" s="6" t="inlineStr">
        <is>
          <t>STR-1035</t>
        </is>
      </c>
      <c r="B136" s="7" t="n">
        <v>45748</v>
      </c>
      <c r="C136" s="6" t="inlineStr">
        <is>
          <t>South</t>
        </is>
      </c>
      <c r="D136" s="6" t="inlineStr">
        <is>
          <t>Residential</t>
        </is>
      </c>
      <c r="E136" s="8">
        <f>IF(D136="High Street",1,0)</f>
        <v/>
      </c>
      <c r="F136" s="8">
        <f>IF(D136="Airport",1,0)</f>
        <v/>
      </c>
      <c r="G136" s="8">
        <f>IF(D136="Mall",1,0)</f>
        <v/>
      </c>
      <c r="H136" s="8">
        <f>IF(C136="North",1,0)</f>
        <v/>
      </c>
      <c r="I136" s="8">
        <f>IF(C136="South",1,0)</f>
        <v/>
      </c>
      <c r="J136" s="8">
        <f>IF(C136="West",1,0)</f>
        <v/>
      </c>
    </row>
    <row r="137">
      <c r="A137" s="2" t="inlineStr">
        <is>
          <t>STR-1036</t>
        </is>
      </c>
      <c r="B137" s="3" t="n">
        <v>45658</v>
      </c>
      <c r="C137" s="2" t="inlineStr">
        <is>
          <t>West</t>
        </is>
      </c>
      <c r="D137" s="2" t="inlineStr">
        <is>
          <t>High Street</t>
        </is>
      </c>
      <c r="E137" s="5">
        <f>IF(D137="High Street",1,0)</f>
        <v/>
      </c>
      <c r="F137" s="5">
        <f>IF(D137="Airport",1,0)</f>
        <v/>
      </c>
      <c r="G137" s="5">
        <f>IF(D137="Mall",1,0)</f>
        <v/>
      </c>
      <c r="H137" s="5">
        <f>IF(C137="North",1,0)</f>
        <v/>
      </c>
      <c r="I137" s="5">
        <f>IF(C137="South",1,0)</f>
        <v/>
      </c>
      <c r="J137" s="5">
        <f>IF(C137="West",1,0)</f>
        <v/>
      </c>
    </row>
    <row r="138">
      <c r="A138" s="6" t="inlineStr">
        <is>
          <t>STR-1036</t>
        </is>
      </c>
      <c r="B138" s="7" t="n">
        <v>45689</v>
      </c>
      <c r="C138" s="6" t="inlineStr">
        <is>
          <t>West</t>
        </is>
      </c>
      <c r="D138" s="6" t="inlineStr">
        <is>
          <t>High Street</t>
        </is>
      </c>
      <c r="E138" s="8">
        <f>IF(D138="High Street",1,0)</f>
        <v/>
      </c>
      <c r="F138" s="8">
        <f>IF(D138="Airport",1,0)</f>
        <v/>
      </c>
      <c r="G138" s="8">
        <f>IF(D138="Mall",1,0)</f>
        <v/>
      </c>
      <c r="H138" s="8">
        <f>IF(C138="North",1,0)</f>
        <v/>
      </c>
      <c r="I138" s="8">
        <f>IF(C138="South",1,0)</f>
        <v/>
      </c>
      <c r="J138" s="8">
        <f>IF(C138="West",1,0)</f>
        <v/>
      </c>
    </row>
    <row r="139">
      <c r="A139" s="2" t="inlineStr">
        <is>
          <t>STR-1036</t>
        </is>
      </c>
      <c r="B139" s="3" t="n">
        <v>45717</v>
      </c>
      <c r="C139" s="2" t="inlineStr">
        <is>
          <t>West</t>
        </is>
      </c>
      <c r="D139" s="2" t="inlineStr">
        <is>
          <t>High Street</t>
        </is>
      </c>
      <c r="E139" s="5">
        <f>IF(D139="High Street",1,0)</f>
        <v/>
      </c>
      <c r="F139" s="5">
        <f>IF(D139="Airport",1,0)</f>
        <v/>
      </c>
      <c r="G139" s="5">
        <f>IF(D139="Mall",1,0)</f>
        <v/>
      </c>
      <c r="H139" s="5">
        <f>IF(C139="North",1,0)</f>
        <v/>
      </c>
      <c r="I139" s="5">
        <f>IF(C139="South",1,0)</f>
        <v/>
      </c>
      <c r="J139" s="5">
        <f>IF(C139="West",1,0)</f>
        <v/>
      </c>
    </row>
    <row r="140">
      <c r="A140" s="6" t="inlineStr">
        <is>
          <t>STR-1036</t>
        </is>
      </c>
      <c r="B140" s="7" t="n">
        <v>45748</v>
      </c>
      <c r="C140" s="6" t="inlineStr">
        <is>
          <t>West</t>
        </is>
      </c>
      <c r="D140" s="6" t="inlineStr">
        <is>
          <t>High Street</t>
        </is>
      </c>
      <c r="E140" s="8">
        <f>IF(D140="High Street",1,0)</f>
        <v/>
      </c>
      <c r="F140" s="8">
        <f>IF(D140="Airport",1,0)</f>
        <v/>
      </c>
      <c r="G140" s="8">
        <f>IF(D140="Mall",1,0)</f>
        <v/>
      </c>
      <c r="H140" s="8">
        <f>IF(C140="North",1,0)</f>
        <v/>
      </c>
      <c r="I140" s="8">
        <f>IF(C140="South",1,0)</f>
        <v/>
      </c>
      <c r="J140" s="8">
        <f>IF(C140="West",1,0)</f>
        <v/>
      </c>
    </row>
    <row r="141">
      <c r="A141" s="2" t="inlineStr">
        <is>
          <t>STR-1037</t>
        </is>
      </c>
      <c r="B141" s="3" t="n">
        <v>45658</v>
      </c>
      <c r="C141" s="2" t="inlineStr">
        <is>
          <t>North</t>
        </is>
      </c>
      <c r="D141" s="2" t="inlineStr">
        <is>
          <t>Residential</t>
        </is>
      </c>
      <c r="E141" s="5">
        <f>IF(D141="High Street",1,0)</f>
        <v/>
      </c>
      <c r="F141" s="5">
        <f>IF(D141="Airport",1,0)</f>
        <v/>
      </c>
      <c r="G141" s="5">
        <f>IF(D141="Mall",1,0)</f>
        <v/>
      </c>
      <c r="H141" s="5">
        <f>IF(C141="North",1,0)</f>
        <v/>
      </c>
      <c r="I141" s="5">
        <f>IF(C141="South",1,0)</f>
        <v/>
      </c>
      <c r="J141" s="5">
        <f>IF(C141="West",1,0)</f>
        <v/>
      </c>
    </row>
    <row r="142">
      <c r="A142" s="6" t="inlineStr">
        <is>
          <t>STR-1037</t>
        </is>
      </c>
      <c r="B142" s="7" t="n">
        <v>45689</v>
      </c>
      <c r="C142" s="6" t="inlineStr">
        <is>
          <t>North</t>
        </is>
      </c>
      <c r="D142" s="6" t="inlineStr">
        <is>
          <t>Residential</t>
        </is>
      </c>
      <c r="E142" s="8">
        <f>IF(D142="High Street",1,0)</f>
        <v/>
      </c>
      <c r="F142" s="8">
        <f>IF(D142="Airport",1,0)</f>
        <v/>
      </c>
      <c r="G142" s="8">
        <f>IF(D142="Mall",1,0)</f>
        <v/>
      </c>
      <c r="H142" s="8">
        <f>IF(C142="North",1,0)</f>
        <v/>
      </c>
      <c r="I142" s="8">
        <f>IF(C142="South",1,0)</f>
        <v/>
      </c>
      <c r="J142" s="8">
        <f>IF(C142="West",1,0)</f>
        <v/>
      </c>
    </row>
    <row r="143">
      <c r="A143" s="2" t="inlineStr">
        <is>
          <t>STR-1037</t>
        </is>
      </c>
      <c r="B143" s="3" t="n">
        <v>45717</v>
      </c>
      <c r="C143" s="2" t="inlineStr">
        <is>
          <t>North</t>
        </is>
      </c>
      <c r="D143" s="2" t="inlineStr">
        <is>
          <t>Residential</t>
        </is>
      </c>
      <c r="E143" s="5">
        <f>IF(D143="High Street",1,0)</f>
        <v/>
      </c>
      <c r="F143" s="5">
        <f>IF(D143="Airport",1,0)</f>
        <v/>
      </c>
      <c r="G143" s="5">
        <f>IF(D143="Mall",1,0)</f>
        <v/>
      </c>
      <c r="H143" s="5">
        <f>IF(C143="North",1,0)</f>
        <v/>
      </c>
      <c r="I143" s="5">
        <f>IF(C143="South",1,0)</f>
        <v/>
      </c>
      <c r="J143" s="5">
        <f>IF(C143="West",1,0)</f>
        <v/>
      </c>
    </row>
    <row r="144">
      <c r="A144" s="6" t="inlineStr">
        <is>
          <t>STR-1037</t>
        </is>
      </c>
      <c r="B144" s="7" t="n">
        <v>45748</v>
      </c>
      <c r="C144" s="6" t="inlineStr">
        <is>
          <t>North</t>
        </is>
      </c>
      <c r="D144" s="6" t="inlineStr">
        <is>
          <t>Residential</t>
        </is>
      </c>
      <c r="E144" s="8">
        <f>IF(D144="High Street",1,0)</f>
        <v/>
      </c>
      <c r="F144" s="8">
        <f>IF(D144="Airport",1,0)</f>
        <v/>
      </c>
      <c r="G144" s="8">
        <f>IF(D144="Mall",1,0)</f>
        <v/>
      </c>
      <c r="H144" s="8">
        <f>IF(C144="North",1,0)</f>
        <v/>
      </c>
      <c r="I144" s="8">
        <f>IF(C144="South",1,0)</f>
        <v/>
      </c>
      <c r="J144" s="8">
        <f>IF(C144="West",1,0)</f>
        <v/>
      </c>
    </row>
    <row r="145">
      <c r="A145" s="2" t="inlineStr">
        <is>
          <t>STR-1038</t>
        </is>
      </c>
      <c r="B145" s="3" t="n">
        <v>45658</v>
      </c>
      <c r="C145" s="2" t="inlineStr">
        <is>
          <t>South</t>
        </is>
      </c>
      <c r="D145" s="2" t="inlineStr">
        <is>
          <t>Mall</t>
        </is>
      </c>
      <c r="E145" s="5">
        <f>IF(D145="High Street",1,0)</f>
        <v/>
      </c>
      <c r="F145" s="5">
        <f>IF(D145="Airport",1,0)</f>
        <v/>
      </c>
      <c r="G145" s="5">
        <f>IF(D145="Mall",1,0)</f>
        <v/>
      </c>
      <c r="H145" s="5">
        <f>IF(C145="North",1,0)</f>
        <v/>
      </c>
      <c r="I145" s="5">
        <f>IF(C145="South",1,0)</f>
        <v/>
      </c>
      <c r="J145" s="5">
        <f>IF(C145="West",1,0)</f>
        <v/>
      </c>
    </row>
    <row r="146">
      <c r="A146" s="6" t="inlineStr">
        <is>
          <t>STR-1038</t>
        </is>
      </c>
      <c r="B146" s="7" t="n">
        <v>45689</v>
      </c>
      <c r="C146" s="6" t="inlineStr">
        <is>
          <t>South</t>
        </is>
      </c>
      <c r="D146" s="6" t="inlineStr">
        <is>
          <t>Mall</t>
        </is>
      </c>
      <c r="E146" s="8">
        <f>IF(D146="High Street",1,0)</f>
        <v/>
      </c>
      <c r="F146" s="8">
        <f>IF(D146="Airport",1,0)</f>
        <v/>
      </c>
      <c r="G146" s="8">
        <f>IF(D146="Mall",1,0)</f>
        <v/>
      </c>
      <c r="H146" s="8">
        <f>IF(C146="North",1,0)</f>
        <v/>
      </c>
      <c r="I146" s="8">
        <f>IF(C146="South",1,0)</f>
        <v/>
      </c>
      <c r="J146" s="8">
        <f>IF(C146="West",1,0)</f>
        <v/>
      </c>
    </row>
    <row r="147">
      <c r="A147" s="2" t="inlineStr">
        <is>
          <t>STR-1038</t>
        </is>
      </c>
      <c r="B147" s="3" t="n">
        <v>45717</v>
      </c>
      <c r="C147" s="2" t="inlineStr">
        <is>
          <t>South</t>
        </is>
      </c>
      <c r="D147" s="2" t="inlineStr">
        <is>
          <t>Mall</t>
        </is>
      </c>
      <c r="E147" s="5">
        <f>IF(D147="High Street",1,0)</f>
        <v/>
      </c>
      <c r="F147" s="5">
        <f>IF(D147="Airport",1,0)</f>
        <v/>
      </c>
      <c r="G147" s="5">
        <f>IF(D147="Mall",1,0)</f>
        <v/>
      </c>
      <c r="H147" s="5">
        <f>IF(C147="North",1,0)</f>
        <v/>
      </c>
      <c r="I147" s="5">
        <f>IF(C147="South",1,0)</f>
        <v/>
      </c>
      <c r="J147" s="5">
        <f>IF(C147="West",1,0)</f>
        <v/>
      </c>
    </row>
    <row r="148">
      <c r="A148" s="6" t="inlineStr">
        <is>
          <t>STR-1038</t>
        </is>
      </c>
      <c r="B148" s="7" t="n">
        <v>45748</v>
      </c>
      <c r="C148" s="6" t="inlineStr">
        <is>
          <t>South</t>
        </is>
      </c>
      <c r="D148" s="6" t="inlineStr">
        <is>
          <t>Mall</t>
        </is>
      </c>
      <c r="E148" s="8">
        <f>IF(D148="High Street",1,0)</f>
        <v/>
      </c>
      <c r="F148" s="8">
        <f>IF(D148="Airport",1,0)</f>
        <v/>
      </c>
      <c r="G148" s="8">
        <f>IF(D148="Mall",1,0)</f>
        <v/>
      </c>
      <c r="H148" s="8">
        <f>IF(C148="North",1,0)</f>
        <v/>
      </c>
      <c r="I148" s="8">
        <f>IF(C148="South",1,0)</f>
        <v/>
      </c>
      <c r="J148" s="8">
        <f>IF(C148="West",1,0)</f>
        <v/>
      </c>
    </row>
    <row r="149">
      <c r="A149" s="2" t="inlineStr">
        <is>
          <t>STR-1039</t>
        </is>
      </c>
      <c r="B149" s="3" t="n">
        <v>45658</v>
      </c>
      <c r="C149" s="2" t="inlineStr">
        <is>
          <t>East</t>
        </is>
      </c>
      <c r="D149" s="2" t="inlineStr">
        <is>
          <t>High Street</t>
        </is>
      </c>
      <c r="E149" s="5">
        <f>IF(D149="High Street",1,0)</f>
        <v/>
      </c>
      <c r="F149" s="5">
        <f>IF(D149="Airport",1,0)</f>
        <v/>
      </c>
      <c r="G149" s="5">
        <f>IF(D149="Mall",1,0)</f>
        <v/>
      </c>
      <c r="H149" s="5">
        <f>IF(C149="North",1,0)</f>
        <v/>
      </c>
      <c r="I149" s="5">
        <f>IF(C149="South",1,0)</f>
        <v/>
      </c>
      <c r="J149" s="5">
        <f>IF(C149="West",1,0)</f>
        <v/>
      </c>
    </row>
    <row r="150">
      <c r="A150" s="6" t="inlineStr">
        <is>
          <t>STR-1039</t>
        </is>
      </c>
      <c r="B150" s="7" t="n">
        <v>45689</v>
      </c>
      <c r="C150" s="6" t="inlineStr">
        <is>
          <t>East</t>
        </is>
      </c>
      <c r="D150" s="6" t="inlineStr">
        <is>
          <t>High Street</t>
        </is>
      </c>
      <c r="E150" s="8">
        <f>IF(D150="High Street",1,0)</f>
        <v/>
      </c>
      <c r="F150" s="8">
        <f>IF(D150="Airport",1,0)</f>
        <v/>
      </c>
      <c r="G150" s="8">
        <f>IF(D150="Mall",1,0)</f>
        <v/>
      </c>
      <c r="H150" s="8">
        <f>IF(C150="North",1,0)</f>
        <v/>
      </c>
      <c r="I150" s="8">
        <f>IF(C150="South",1,0)</f>
        <v/>
      </c>
      <c r="J150" s="8">
        <f>IF(C150="West",1,0)</f>
        <v/>
      </c>
    </row>
    <row r="151">
      <c r="A151" s="2" t="inlineStr">
        <is>
          <t>STR-1039</t>
        </is>
      </c>
      <c r="B151" s="3" t="n">
        <v>45717</v>
      </c>
      <c r="C151" s="2" t="inlineStr">
        <is>
          <t>East</t>
        </is>
      </c>
      <c r="D151" s="2" t="inlineStr">
        <is>
          <t>High Street</t>
        </is>
      </c>
      <c r="E151" s="5">
        <f>IF(D151="High Street",1,0)</f>
        <v/>
      </c>
      <c r="F151" s="5">
        <f>IF(D151="Airport",1,0)</f>
        <v/>
      </c>
      <c r="G151" s="5">
        <f>IF(D151="Mall",1,0)</f>
        <v/>
      </c>
      <c r="H151" s="5">
        <f>IF(C151="North",1,0)</f>
        <v/>
      </c>
      <c r="I151" s="5">
        <f>IF(C151="South",1,0)</f>
        <v/>
      </c>
      <c r="J151" s="5">
        <f>IF(C151="West",1,0)</f>
        <v/>
      </c>
    </row>
    <row r="152">
      <c r="A152" s="6" t="inlineStr">
        <is>
          <t>STR-1039</t>
        </is>
      </c>
      <c r="B152" s="7" t="n">
        <v>45748</v>
      </c>
      <c r="C152" s="6" t="inlineStr">
        <is>
          <t>East</t>
        </is>
      </c>
      <c r="D152" s="6" t="inlineStr">
        <is>
          <t>High Street</t>
        </is>
      </c>
      <c r="E152" s="8">
        <f>IF(D152="High Street",1,0)</f>
        <v/>
      </c>
      <c r="F152" s="8">
        <f>IF(D152="Airport",1,0)</f>
        <v/>
      </c>
      <c r="G152" s="8">
        <f>IF(D152="Mall",1,0)</f>
        <v/>
      </c>
      <c r="H152" s="8">
        <f>IF(C152="North",1,0)</f>
        <v/>
      </c>
      <c r="I152" s="8">
        <f>IF(C152="South",1,0)</f>
        <v/>
      </c>
      <c r="J152" s="8">
        <f>IF(C152="West",1,0)</f>
        <v/>
      </c>
    </row>
    <row r="153">
      <c r="A153" s="2" t="inlineStr">
        <is>
          <t>STR-1040</t>
        </is>
      </c>
      <c r="B153" s="3" t="n">
        <v>45658</v>
      </c>
      <c r="C153" s="2" t="inlineStr">
        <is>
          <t>North</t>
        </is>
      </c>
      <c r="D153" s="2" t="inlineStr">
        <is>
          <t>Mall</t>
        </is>
      </c>
      <c r="E153" s="5">
        <f>IF(D153="High Street",1,0)</f>
        <v/>
      </c>
      <c r="F153" s="5">
        <f>IF(D153="Airport",1,0)</f>
        <v/>
      </c>
      <c r="G153" s="5">
        <f>IF(D153="Mall",1,0)</f>
        <v/>
      </c>
      <c r="H153" s="5">
        <f>IF(C153="North",1,0)</f>
        <v/>
      </c>
      <c r="I153" s="5">
        <f>IF(C153="South",1,0)</f>
        <v/>
      </c>
      <c r="J153" s="5">
        <f>IF(C153="West",1,0)</f>
        <v/>
      </c>
    </row>
    <row r="154">
      <c r="A154" s="6" t="inlineStr">
        <is>
          <t>STR-1040</t>
        </is>
      </c>
      <c r="B154" s="7" t="n">
        <v>45689</v>
      </c>
      <c r="C154" s="6" t="inlineStr">
        <is>
          <t>North</t>
        </is>
      </c>
      <c r="D154" s="6" t="inlineStr">
        <is>
          <t>Mall</t>
        </is>
      </c>
      <c r="E154" s="8">
        <f>IF(D154="High Street",1,0)</f>
        <v/>
      </c>
      <c r="F154" s="8">
        <f>IF(D154="Airport",1,0)</f>
        <v/>
      </c>
      <c r="G154" s="8">
        <f>IF(D154="Mall",1,0)</f>
        <v/>
      </c>
      <c r="H154" s="8">
        <f>IF(C154="North",1,0)</f>
        <v/>
      </c>
      <c r="I154" s="8">
        <f>IF(C154="South",1,0)</f>
        <v/>
      </c>
      <c r="J154" s="8">
        <f>IF(C154="West",1,0)</f>
        <v/>
      </c>
    </row>
    <row r="155">
      <c r="A155" s="2" t="inlineStr">
        <is>
          <t>STR-1040</t>
        </is>
      </c>
      <c r="B155" s="3" t="n">
        <v>45717</v>
      </c>
      <c r="C155" s="2" t="inlineStr">
        <is>
          <t>North</t>
        </is>
      </c>
      <c r="D155" s="2" t="inlineStr">
        <is>
          <t>Mall</t>
        </is>
      </c>
      <c r="E155" s="5">
        <f>IF(D155="High Street",1,0)</f>
        <v/>
      </c>
      <c r="F155" s="5">
        <f>IF(D155="Airport",1,0)</f>
        <v/>
      </c>
      <c r="G155" s="5">
        <f>IF(D155="Mall",1,0)</f>
        <v/>
      </c>
      <c r="H155" s="5">
        <f>IF(C155="North",1,0)</f>
        <v/>
      </c>
      <c r="I155" s="5">
        <f>IF(C155="South",1,0)</f>
        <v/>
      </c>
      <c r="J155" s="5">
        <f>IF(C155="West",1,0)</f>
        <v/>
      </c>
    </row>
    <row r="156">
      <c r="A156" s="6" t="inlineStr">
        <is>
          <t>STR-1040</t>
        </is>
      </c>
      <c r="B156" s="7" t="n">
        <v>45748</v>
      </c>
      <c r="C156" s="6" t="inlineStr">
        <is>
          <t>North</t>
        </is>
      </c>
      <c r="D156" s="6" t="inlineStr">
        <is>
          <t>Mall</t>
        </is>
      </c>
      <c r="E156" s="8">
        <f>IF(D156="High Street",1,0)</f>
        <v/>
      </c>
      <c r="F156" s="8">
        <f>IF(D156="Airport",1,0)</f>
        <v/>
      </c>
      <c r="G156" s="8">
        <f>IF(D156="Mall",1,0)</f>
        <v/>
      </c>
      <c r="H156" s="8">
        <f>IF(C156="North",1,0)</f>
        <v/>
      </c>
      <c r="I156" s="8">
        <f>IF(C156="South",1,0)</f>
        <v/>
      </c>
      <c r="J156" s="8">
        <f>IF(C156="West",1,0)</f>
        <v/>
      </c>
    </row>
    <row r="157">
      <c r="A157" s="2" t="inlineStr">
        <is>
          <t>STR-1041</t>
        </is>
      </c>
      <c r="B157" s="3" t="n">
        <v>45658</v>
      </c>
      <c r="C157" s="2" t="inlineStr">
        <is>
          <t>South</t>
        </is>
      </c>
      <c r="D157" s="2" t="inlineStr">
        <is>
          <t>High Street</t>
        </is>
      </c>
      <c r="E157" s="5">
        <f>IF(D157="High Street",1,0)</f>
        <v/>
      </c>
      <c r="F157" s="5">
        <f>IF(D157="Airport",1,0)</f>
        <v/>
      </c>
      <c r="G157" s="5">
        <f>IF(D157="Mall",1,0)</f>
        <v/>
      </c>
      <c r="H157" s="5">
        <f>IF(C157="North",1,0)</f>
        <v/>
      </c>
      <c r="I157" s="5">
        <f>IF(C157="South",1,0)</f>
        <v/>
      </c>
      <c r="J157" s="5">
        <f>IF(C157="West",1,0)</f>
        <v/>
      </c>
    </row>
    <row r="158">
      <c r="A158" s="6" t="inlineStr">
        <is>
          <t>STR-1041</t>
        </is>
      </c>
      <c r="B158" s="7" t="n">
        <v>45689</v>
      </c>
      <c r="C158" s="6" t="inlineStr">
        <is>
          <t>South</t>
        </is>
      </c>
      <c r="D158" s="6" t="inlineStr">
        <is>
          <t>High Street</t>
        </is>
      </c>
      <c r="E158" s="8">
        <f>IF(D158="High Street",1,0)</f>
        <v/>
      </c>
      <c r="F158" s="8">
        <f>IF(D158="Airport",1,0)</f>
        <v/>
      </c>
      <c r="G158" s="8">
        <f>IF(D158="Mall",1,0)</f>
        <v/>
      </c>
      <c r="H158" s="8">
        <f>IF(C158="North",1,0)</f>
        <v/>
      </c>
      <c r="I158" s="8">
        <f>IF(C158="South",1,0)</f>
        <v/>
      </c>
      <c r="J158" s="8">
        <f>IF(C158="West",1,0)</f>
        <v/>
      </c>
    </row>
    <row r="159">
      <c r="A159" s="2" t="inlineStr">
        <is>
          <t>STR-1041</t>
        </is>
      </c>
      <c r="B159" s="3" t="n">
        <v>45748</v>
      </c>
      <c r="C159" s="2" t="inlineStr">
        <is>
          <t>South</t>
        </is>
      </c>
      <c r="D159" s="2" t="inlineStr">
        <is>
          <t>High Street</t>
        </is>
      </c>
      <c r="E159" s="5">
        <f>IF(D159="High Street",1,0)</f>
        <v/>
      </c>
      <c r="F159" s="5">
        <f>IF(D159="Airport",1,0)</f>
        <v/>
      </c>
      <c r="G159" s="5">
        <f>IF(D159="Mall",1,0)</f>
        <v/>
      </c>
      <c r="H159" s="5">
        <f>IF(C159="North",1,0)</f>
        <v/>
      </c>
      <c r="I159" s="5">
        <f>IF(C159="South",1,0)</f>
        <v/>
      </c>
      <c r="J159" s="5">
        <f>IF(C159="West",1,0)</f>
        <v/>
      </c>
    </row>
    <row r="160">
      <c r="A160" s="6" t="inlineStr">
        <is>
          <t>STR-1042</t>
        </is>
      </c>
      <c r="B160" s="7" t="n">
        <v>45658</v>
      </c>
      <c r="C160" s="6" t="inlineStr">
        <is>
          <t>North</t>
        </is>
      </c>
      <c r="D160" s="6" t="inlineStr">
        <is>
          <t>Mall</t>
        </is>
      </c>
      <c r="E160" s="8">
        <f>IF(D160="High Street",1,0)</f>
        <v/>
      </c>
      <c r="F160" s="8">
        <f>IF(D160="Airport",1,0)</f>
        <v/>
      </c>
      <c r="G160" s="8">
        <f>IF(D160="Mall",1,0)</f>
        <v/>
      </c>
      <c r="H160" s="8">
        <f>IF(C160="North",1,0)</f>
        <v/>
      </c>
      <c r="I160" s="8">
        <f>IF(C160="South",1,0)</f>
        <v/>
      </c>
      <c r="J160" s="8">
        <f>IF(C160="West",1,0)</f>
        <v/>
      </c>
    </row>
    <row r="161">
      <c r="A161" s="2" t="inlineStr">
        <is>
          <t>STR-1042</t>
        </is>
      </c>
      <c r="B161" s="3" t="n">
        <v>45689</v>
      </c>
      <c r="C161" s="2" t="inlineStr">
        <is>
          <t>North</t>
        </is>
      </c>
      <c r="D161" s="2" t="inlineStr">
        <is>
          <t>Mall</t>
        </is>
      </c>
      <c r="E161" s="5">
        <f>IF(D161="High Street",1,0)</f>
        <v/>
      </c>
      <c r="F161" s="5">
        <f>IF(D161="Airport",1,0)</f>
        <v/>
      </c>
      <c r="G161" s="5">
        <f>IF(D161="Mall",1,0)</f>
        <v/>
      </c>
      <c r="H161" s="5">
        <f>IF(C161="North",1,0)</f>
        <v/>
      </c>
      <c r="I161" s="5">
        <f>IF(C161="South",1,0)</f>
        <v/>
      </c>
      <c r="J161" s="5">
        <f>IF(C161="West",1,0)</f>
        <v/>
      </c>
    </row>
    <row r="162">
      <c r="A162" s="6" t="inlineStr">
        <is>
          <t>STR-1042</t>
        </is>
      </c>
      <c r="B162" s="7" t="n">
        <v>45717</v>
      </c>
      <c r="C162" s="6" t="inlineStr">
        <is>
          <t>North</t>
        </is>
      </c>
      <c r="D162" s="6" t="inlineStr">
        <is>
          <t>Mall</t>
        </is>
      </c>
      <c r="E162" s="8">
        <f>IF(D162="High Street",1,0)</f>
        <v/>
      </c>
      <c r="F162" s="8">
        <f>IF(D162="Airport",1,0)</f>
        <v/>
      </c>
      <c r="G162" s="8">
        <f>IF(D162="Mall",1,0)</f>
        <v/>
      </c>
      <c r="H162" s="8">
        <f>IF(C162="North",1,0)</f>
        <v/>
      </c>
      <c r="I162" s="8">
        <f>IF(C162="South",1,0)</f>
        <v/>
      </c>
      <c r="J162" s="8">
        <f>IF(C162="West",1,0)</f>
        <v/>
      </c>
    </row>
    <row r="163">
      <c r="A163" s="2" t="inlineStr">
        <is>
          <t>STR-1042</t>
        </is>
      </c>
      <c r="B163" s="3" t="n">
        <v>45748</v>
      </c>
      <c r="C163" s="2" t="inlineStr">
        <is>
          <t>North</t>
        </is>
      </c>
      <c r="D163" s="2" t="inlineStr">
        <is>
          <t>Mall</t>
        </is>
      </c>
      <c r="E163" s="5">
        <f>IF(D163="High Street",1,0)</f>
        <v/>
      </c>
      <c r="F163" s="5">
        <f>IF(D163="Airport",1,0)</f>
        <v/>
      </c>
      <c r="G163" s="5">
        <f>IF(D163="Mall",1,0)</f>
        <v/>
      </c>
      <c r="H163" s="5">
        <f>IF(C163="North",1,0)</f>
        <v/>
      </c>
      <c r="I163" s="5">
        <f>IF(C163="South",1,0)</f>
        <v/>
      </c>
      <c r="J163" s="5">
        <f>IF(C163="West",1,0)</f>
        <v/>
      </c>
    </row>
    <row r="164">
      <c r="A164" s="6" t="inlineStr">
        <is>
          <t>STR-1043</t>
        </is>
      </c>
      <c r="B164" s="7" t="n">
        <v>45658</v>
      </c>
      <c r="C164" s="6" t="inlineStr">
        <is>
          <t>East</t>
        </is>
      </c>
      <c r="D164" s="6" t="inlineStr">
        <is>
          <t>Residential</t>
        </is>
      </c>
      <c r="E164" s="8">
        <f>IF(D164="High Street",1,0)</f>
        <v/>
      </c>
      <c r="F164" s="8">
        <f>IF(D164="Airport",1,0)</f>
        <v/>
      </c>
      <c r="G164" s="8">
        <f>IF(D164="Mall",1,0)</f>
        <v/>
      </c>
      <c r="H164" s="8">
        <f>IF(C164="North",1,0)</f>
        <v/>
      </c>
      <c r="I164" s="8">
        <f>IF(C164="South",1,0)</f>
        <v/>
      </c>
      <c r="J164" s="8">
        <f>IF(C164="West",1,0)</f>
        <v/>
      </c>
    </row>
    <row r="165">
      <c r="A165" s="2" t="inlineStr">
        <is>
          <t>STR-1043</t>
        </is>
      </c>
      <c r="B165" s="3" t="n">
        <v>45689</v>
      </c>
      <c r="C165" s="2" t="inlineStr">
        <is>
          <t>East</t>
        </is>
      </c>
      <c r="D165" s="2" t="inlineStr">
        <is>
          <t>Residential</t>
        </is>
      </c>
      <c r="E165" s="5">
        <f>IF(D165="High Street",1,0)</f>
        <v/>
      </c>
      <c r="F165" s="5">
        <f>IF(D165="Airport",1,0)</f>
        <v/>
      </c>
      <c r="G165" s="5">
        <f>IF(D165="Mall",1,0)</f>
        <v/>
      </c>
      <c r="H165" s="5">
        <f>IF(C165="North",1,0)</f>
        <v/>
      </c>
      <c r="I165" s="5">
        <f>IF(C165="South",1,0)</f>
        <v/>
      </c>
      <c r="J165" s="5">
        <f>IF(C165="West",1,0)</f>
        <v/>
      </c>
    </row>
    <row r="166">
      <c r="A166" s="6" t="inlineStr">
        <is>
          <t>STR-1043</t>
        </is>
      </c>
      <c r="B166" s="7" t="n">
        <v>45717</v>
      </c>
      <c r="C166" s="6" t="inlineStr">
        <is>
          <t>East</t>
        </is>
      </c>
      <c r="D166" s="6" t="inlineStr">
        <is>
          <t>Residential</t>
        </is>
      </c>
      <c r="E166" s="8">
        <f>IF(D166="High Street",1,0)</f>
        <v/>
      </c>
      <c r="F166" s="8">
        <f>IF(D166="Airport",1,0)</f>
        <v/>
      </c>
      <c r="G166" s="8">
        <f>IF(D166="Mall",1,0)</f>
        <v/>
      </c>
      <c r="H166" s="8">
        <f>IF(C166="North",1,0)</f>
        <v/>
      </c>
      <c r="I166" s="8">
        <f>IF(C166="South",1,0)</f>
        <v/>
      </c>
      <c r="J166" s="8">
        <f>IF(C166="West",1,0)</f>
        <v/>
      </c>
    </row>
    <row r="167">
      <c r="A167" s="2" t="inlineStr">
        <is>
          <t>STR-1043</t>
        </is>
      </c>
      <c r="B167" s="3" t="n">
        <v>45748</v>
      </c>
      <c r="C167" s="2" t="inlineStr">
        <is>
          <t>East</t>
        </is>
      </c>
      <c r="D167" s="2" t="inlineStr">
        <is>
          <t>Residential</t>
        </is>
      </c>
      <c r="E167" s="5">
        <f>IF(D167="High Street",1,0)</f>
        <v/>
      </c>
      <c r="F167" s="5">
        <f>IF(D167="Airport",1,0)</f>
        <v/>
      </c>
      <c r="G167" s="5">
        <f>IF(D167="Mall",1,0)</f>
        <v/>
      </c>
      <c r="H167" s="5">
        <f>IF(C167="North",1,0)</f>
        <v/>
      </c>
      <c r="I167" s="5">
        <f>IF(C167="South",1,0)</f>
        <v/>
      </c>
      <c r="J167" s="5">
        <f>IF(C167="West",1,0)</f>
        <v/>
      </c>
    </row>
    <row r="168">
      <c r="A168" s="6" t="inlineStr">
        <is>
          <t>STR-1044</t>
        </is>
      </c>
      <c r="B168" s="7" t="n">
        <v>45658</v>
      </c>
      <c r="C168" s="6" t="inlineStr">
        <is>
          <t>East</t>
        </is>
      </c>
      <c r="D168" s="6" t="inlineStr">
        <is>
          <t>Residential</t>
        </is>
      </c>
      <c r="E168" s="8">
        <f>IF(D168="High Street",1,0)</f>
        <v/>
      </c>
      <c r="F168" s="8">
        <f>IF(D168="Airport",1,0)</f>
        <v/>
      </c>
      <c r="G168" s="8">
        <f>IF(D168="Mall",1,0)</f>
        <v/>
      </c>
      <c r="H168" s="8">
        <f>IF(C168="North",1,0)</f>
        <v/>
      </c>
      <c r="I168" s="8">
        <f>IF(C168="South",1,0)</f>
        <v/>
      </c>
      <c r="J168" s="8">
        <f>IF(C168="West",1,0)</f>
        <v/>
      </c>
    </row>
    <row r="169">
      <c r="A169" s="2" t="inlineStr">
        <is>
          <t>STR-1044</t>
        </is>
      </c>
      <c r="B169" s="3" t="n">
        <v>45689</v>
      </c>
      <c r="C169" s="2" t="inlineStr">
        <is>
          <t>East</t>
        </is>
      </c>
      <c r="D169" s="2" t="inlineStr">
        <is>
          <t>Residential</t>
        </is>
      </c>
      <c r="E169" s="5">
        <f>IF(D169="High Street",1,0)</f>
        <v/>
      </c>
      <c r="F169" s="5">
        <f>IF(D169="Airport",1,0)</f>
        <v/>
      </c>
      <c r="G169" s="5">
        <f>IF(D169="Mall",1,0)</f>
        <v/>
      </c>
      <c r="H169" s="5">
        <f>IF(C169="North",1,0)</f>
        <v/>
      </c>
      <c r="I169" s="5">
        <f>IF(C169="South",1,0)</f>
        <v/>
      </c>
      <c r="J169" s="5">
        <f>IF(C169="West",1,0)</f>
        <v/>
      </c>
    </row>
    <row r="170">
      <c r="A170" s="6" t="inlineStr">
        <is>
          <t>STR-1044</t>
        </is>
      </c>
      <c r="B170" s="7" t="n">
        <v>45717</v>
      </c>
      <c r="C170" s="6" t="inlineStr">
        <is>
          <t>East</t>
        </is>
      </c>
      <c r="D170" s="6" t="inlineStr">
        <is>
          <t>Residential</t>
        </is>
      </c>
      <c r="E170" s="8">
        <f>IF(D170="High Street",1,0)</f>
        <v/>
      </c>
      <c r="F170" s="8">
        <f>IF(D170="Airport",1,0)</f>
        <v/>
      </c>
      <c r="G170" s="8">
        <f>IF(D170="Mall",1,0)</f>
        <v/>
      </c>
      <c r="H170" s="8">
        <f>IF(C170="North",1,0)</f>
        <v/>
      </c>
      <c r="I170" s="8">
        <f>IF(C170="South",1,0)</f>
        <v/>
      </c>
      <c r="J170" s="8">
        <f>IF(C170="West",1,0)</f>
        <v/>
      </c>
    </row>
    <row r="171">
      <c r="A171" s="2" t="inlineStr">
        <is>
          <t>STR-1044</t>
        </is>
      </c>
      <c r="B171" s="3" t="n">
        <v>45748</v>
      </c>
      <c r="C171" s="2" t="inlineStr">
        <is>
          <t>East</t>
        </is>
      </c>
      <c r="D171" s="2" t="inlineStr">
        <is>
          <t>Residential</t>
        </is>
      </c>
      <c r="E171" s="5">
        <f>IF(D171="High Street",1,0)</f>
        <v/>
      </c>
      <c r="F171" s="5">
        <f>IF(D171="Airport",1,0)</f>
        <v/>
      </c>
      <c r="G171" s="5">
        <f>IF(D171="Mall",1,0)</f>
        <v/>
      </c>
      <c r="H171" s="5">
        <f>IF(C171="North",1,0)</f>
        <v/>
      </c>
      <c r="I171" s="5">
        <f>IF(C171="South",1,0)</f>
        <v/>
      </c>
      <c r="J171" s="5">
        <f>IF(C171="West",1,0)</f>
        <v/>
      </c>
    </row>
    <row r="172">
      <c r="A172" s="6" t="inlineStr">
        <is>
          <t>STR-1045</t>
        </is>
      </c>
      <c r="B172" s="7" t="n">
        <v>45658</v>
      </c>
      <c r="C172" s="6" t="inlineStr">
        <is>
          <t>West</t>
        </is>
      </c>
      <c r="D172" s="6" t="inlineStr">
        <is>
          <t>Airport</t>
        </is>
      </c>
      <c r="E172" s="8">
        <f>IF(D172="High Street",1,0)</f>
        <v/>
      </c>
      <c r="F172" s="8">
        <f>IF(D172="Airport",1,0)</f>
        <v/>
      </c>
      <c r="G172" s="8">
        <f>IF(D172="Mall",1,0)</f>
        <v/>
      </c>
      <c r="H172" s="8">
        <f>IF(C172="North",1,0)</f>
        <v/>
      </c>
      <c r="I172" s="8">
        <f>IF(C172="South",1,0)</f>
        <v/>
      </c>
      <c r="J172" s="8">
        <f>IF(C172="West",1,0)</f>
        <v/>
      </c>
    </row>
    <row r="173">
      <c r="A173" s="2" t="inlineStr">
        <is>
          <t>STR-1045</t>
        </is>
      </c>
      <c r="B173" s="3" t="n">
        <v>45689</v>
      </c>
      <c r="C173" s="2" t="inlineStr">
        <is>
          <t>West</t>
        </is>
      </c>
      <c r="D173" s="2" t="inlineStr">
        <is>
          <t>Airport</t>
        </is>
      </c>
      <c r="E173" s="5">
        <f>IF(D173="High Street",1,0)</f>
        <v/>
      </c>
      <c r="F173" s="5">
        <f>IF(D173="Airport",1,0)</f>
        <v/>
      </c>
      <c r="G173" s="5">
        <f>IF(D173="Mall",1,0)</f>
        <v/>
      </c>
      <c r="H173" s="5">
        <f>IF(C173="North",1,0)</f>
        <v/>
      </c>
      <c r="I173" s="5">
        <f>IF(C173="South",1,0)</f>
        <v/>
      </c>
      <c r="J173" s="5">
        <f>IF(C173="West",1,0)</f>
        <v/>
      </c>
    </row>
    <row r="174">
      <c r="A174" s="6" t="inlineStr">
        <is>
          <t>STR-1045</t>
        </is>
      </c>
      <c r="B174" s="7" t="n">
        <v>45717</v>
      </c>
      <c r="C174" s="6" t="inlineStr">
        <is>
          <t>West</t>
        </is>
      </c>
      <c r="D174" s="6" t="inlineStr">
        <is>
          <t>Airport</t>
        </is>
      </c>
      <c r="E174" s="8">
        <f>IF(D174="High Street",1,0)</f>
        <v/>
      </c>
      <c r="F174" s="8">
        <f>IF(D174="Airport",1,0)</f>
        <v/>
      </c>
      <c r="G174" s="8">
        <f>IF(D174="Mall",1,0)</f>
        <v/>
      </c>
      <c r="H174" s="8">
        <f>IF(C174="North",1,0)</f>
        <v/>
      </c>
      <c r="I174" s="8">
        <f>IF(C174="South",1,0)</f>
        <v/>
      </c>
      <c r="J174" s="8">
        <f>IF(C174="West",1,0)</f>
        <v/>
      </c>
    </row>
    <row r="175">
      <c r="A175" s="2" t="inlineStr">
        <is>
          <t>STR-1045</t>
        </is>
      </c>
      <c r="B175" s="3" t="n">
        <v>45748</v>
      </c>
      <c r="C175" s="2" t="inlineStr">
        <is>
          <t>West</t>
        </is>
      </c>
      <c r="D175" s="2" t="inlineStr">
        <is>
          <t>Airport</t>
        </is>
      </c>
      <c r="E175" s="5">
        <f>IF(D175="High Street",1,0)</f>
        <v/>
      </c>
      <c r="F175" s="5">
        <f>IF(D175="Airport",1,0)</f>
        <v/>
      </c>
      <c r="G175" s="5">
        <f>IF(D175="Mall",1,0)</f>
        <v/>
      </c>
      <c r="H175" s="5">
        <f>IF(C175="North",1,0)</f>
        <v/>
      </c>
      <c r="I175" s="5">
        <f>IF(C175="South",1,0)</f>
        <v/>
      </c>
      <c r="J175" s="5">
        <f>IF(C175="West",1,0)</f>
        <v/>
      </c>
    </row>
    <row r="176">
      <c r="A176" s="6" t="inlineStr">
        <is>
          <t>STR-1046</t>
        </is>
      </c>
      <c r="B176" s="7" t="n">
        <v>45658</v>
      </c>
      <c r="C176" s="6" t="inlineStr">
        <is>
          <t>West</t>
        </is>
      </c>
      <c r="D176" s="6" t="inlineStr">
        <is>
          <t>Residential</t>
        </is>
      </c>
      <c r="E176" s="8">
        <f>IF(D176="High Street",1,0)</f>
        <v/>
      </c>
      <c r="F176" s="8">
        <f>IF(D176="Airport",1,0)</f>
        <v/>
      </c>
      <c r="G176" s="8">
        <f>IF(D176="Mall",1,0)</f>
        <v/>
      </c>
      <c r="H176" s="8">
        <f>IF(C176="North",1,0)</f>
        <v/>
      </c>
      <c r="I176" s="8">
        <f>IF(C176="South",1,0)</f>
        <v/>
      </c>
      <c r="J176" s="8">
        <f>IF(C176="West",1,0)</f>
        <v/>
      </c>
    </row>
    <row r="177">
      <c r="A177" s="2" t="inlineStr">
        <is>
          <t>STR-1046</t>
        </is>
      </c>
      <c r="B177" s="3" t="n">
        <v>45689</v>
      </c>
      <c r="C177" s="2" t="inlineStr">
        <is>
          <t>West</t>
        </is>
      </c>
      <c r="D177" s="2" t="inlineStr">
        <is>
          <t>Residential</t>
        </is>
      </c>
      <c r="E177" s="5">
        <f>IF(D177="High Street",1,0)</f>
        <v/>
      </c>
      <c r="F177" s="5">
        <f>IF(D177="Airport",1,0)</f>
        <v/>
      </c>
      <c r="G177" s="5">
        <f>IF(D177="Mall",1,0)</f>
        <v/>
      </c>
      <c r="H177" s="5">
        <f>IF(C177="North",1,0)</f>
        <v/>
      </c>
      <c r="I177" s="5">
        <f>IF(C177="South",1,0)</f>
        <v/>
      </c>
      <c r="J177" s="5">
        <f>IF(C177="West",1,0)</f>
        <v/>
      </c>
    </row>
    <row r="178">
      <c r="A178" s="6" t="inlineStr">
        <is>
          <t>STR-1046</t>
        </is>
      </c>
      <c r="B178" s="7" t="n">
        <v>45717</v>
      </c>
      <c r="C178" s="6" t="inlineStr">
        <is>
          <t>West</t>
        </is>
      </c>
      <c r="D178" s="6" t="inlineStr">
        <is>
          <t>Residential</t>
        </is>
      </c>
      <c r="E178" s="8">
        <f>IF(D178="High Street",1,0)</f>
        <v/>
      </c>
      <c r="F178" s="8">
        <f>IF(D178="Airport",1,0)</f>
        <v/>
      </c>
      <c r="G178" s="8">
        <f>IF(D178="Mall",1,0)</f>
        <v/>
      </c>
      <c r="H178" s="8">
        <f>IF(C178="North",1,0)</f>
        <v/>
      </c>
      <c r="I178" s="8">
        <f>IF(C178="South",1,0)</f>
        <v/>
      </c>
      <c r="J178" s="8">
        <f>IF(C178="West",1,0)</f>
        <v/>
      </c>
    </row>
    <row r="179">
      <c r="A179" s="2" t="inlineStr">
        <is>
          <t>STR-1046</t>
        </is>
      </c>
      <c r="B179" s="3" t="n">
        <v>45748</v>
      </c>
      <c r="C179" s="2" t="inlineStr">
        <is>
          <t>West</t>
        </is>
      </c>
      <c r="D179" s="2" t="inlineStr">
        <is>
          <t>Residential</t>
        </is>
      </c>
      <c r="E179" s="5">
        <f>IF(D179="High Street",1,0)</f>
        <v/>
      </c>
      <c r="F179" s="5">
        <f>IF(D179="Airport",1,0)</f>
        <v/>
      </c>
      <c r="G179" s="5">
        <f>IF(D179="Mall",1,0)</f>
        <v/>
      </c>
      <c r="H179" s="5">
        <f>IF(C179="North",1,0)</f>
        <v/>
      </c>
      <c r="I179" s="5">
        <f>IF(C179="South",1,0)</f>
        <v/>
      </c>
      <c r="J179" s="5">
        <f>IF(C179="West",1,0)</f>
        <v/>
      </c>
    </row>
    <row r="180">
      <c r="A180" s="6" t="inlineStr">
        <is>
          <t>STR-1047</t>
        </is>
      </c>
      <c r="B180" s="7" t="n">
        <v>45658</v>
      </c>
      <c r="C180" s="6" t="inlineStr">
        <is>
          <t>North</t>
        </is>
      </c>
      <c r="D180" s="6" t="inlineStr">
        <is>
          <t>High Street</t>
        </is>
      </c>
      <c r="E180" s="8">
        <f>IF(D180="High Street",1,0)</f>
        <v/>
      </c>
      <c r="F180" s="8">
        <f>IF(D180="Airport",1,0)</f>
        <v/>
      </c>
      <c r="G180" s="8">
        <f>IF(D180="Mall",1,0)</f>
        <v/>
      </c>
      <c r="H180" s="8">
        <f>IF(C180="North",1,0)</f>
        <v/>
      </c>
      <c r="I180" s="8">
        <f>IF(C180="South",1,0)</f>
        <v/>
      </c>
      <c r="J180" s="8">
        <f>IF(C180="West",1,0)</f>
        <v/>
      </c>
    </row>
    <row r="181">
      <c r="A181" s="2" t="inlineStr">
        <is>
          <t>STR-1047</t>
        </is>
      </c>
      <c r="B181" s="3" t="n">
        <v>45689</v>
      </c>
      <c r="C181" s="2" t="inlineStr">
        <is>
          <t>North</t>
        </is>
      </c>
      <c r="D181" s="2" t="inlineStr">
        <is>
          <t>High Street</t>
        </is>
      </c>
      <c r="E181" s="5">
        <f>IF(D181="High Street",1,0)</f>
        <v/>
      </c>
      <c r="F181" s="5">
        <f>IF(D181="Airport",1,0)</f>
        <v/>
      </c>
      <c r="G181" s="5">
        <f>IF(D181="Mall",1,0)</f>
        <v/>
      </c>
      <c r="H181" s="5">
        <f>IF(C181="North",1,0)</f>
        <v/>
      </c>
      <c r="I181" s="5">
        <f>IF(C181="South",1,0)</f>
        <v/>
      </c>
      <c r="J181" s="5">
        <f>IF(C181="West",1,0)</f>
        <v/>
      </c>
    </row>
    <row r="182">
      <c r="A182" s="6" t="inlineStr">
        <is>
          <t>STR-1047</t>
        </is>
      </c>
      <c r="B182" s="7" t="n">
        <v>45717</v>
      </c>
      <c r="C182" s="6" t="inlineStr">
        <is>
          <t>North</t>
        </is>
      </c>
      <c r="D182" s="6" t="inlineStr">
        <is>
          <t>High Street</t>
        </is>
      </c>
      <c r="E182" s="8">
        <f>IF(D182="High Street",1,0)</f>
        <v/>
      </c>
      <c r="F182" s="8">
        <f>IF(D182="Airport",1,0)</f>
        <v/>
      </c>
      <c r="G182" s="8">
        <f>IF(D182="Mall",1,0)</f>
        <v/>
      </c>
      <c r="H182" s="8">
        <f>IF(C182="North",1,0)</f>
        <v/>
      </c>
      <c r="I182" s="8">
        <f>IF(C182="South",1,0)</f>
        <v/>
      </c>
      <c r="J182" s="8">
        <f>IF(C182="West",1,0)</f>
        <v/>
      </c>
    </row>
    <row r="183">
      <c r="A183" s="2" t="inlineStr">
        <is>
          <t>STR-1047</t>
        </is>
      </c>
      <c r="B183" s="3" t="n">
        <v>45748</v>
      </c>
      <c r="C183" s="2" t="inlineStr">
        <is>
          <t>North</t>
        </is>
      </c>
      <c r="D183" s="2" t="inlineStr">
        <is>
          <t>High Street</t>
        </is>
      </c>
      <c r="E183" s="5">
        <f>IF(D183="High Street",1,0)</f>
        <v/>
      </c>
      <c r="F183" s="5">
        <f>IF(D183="Airport",1,0)</f>
        <v/>
      </c>
      <c r="G183" s="5">
        <f>IF(D183="Mall",1,0)</f>
        <v/>
      </c>
      <c r="H183" s="5">
        <f>IF(C183="North",1,0)</f>
        <v/>
      </c>
      <c r="I183" s="5">
        <f>IF(C183="South",1,0)</f>
        <v/>
      </c>
      <c r="J183" s="5">
        <f>IF(C183="West",1,0)</f>
        <v/>
      </c>
    </row>
    <row r="184">
      <c r="A184" s="6" t="inlineStr">
        <is>
          <t>STR-1048</t>
        </is>
      </c>
      <c r="B184" s="7" t="n">
        <v>45658</v>
      </c>
      <c r="C184" s="6" t="inlineStr">
        <is>
          <t>East</t>
        </is>
      </c>
      <c r="D184" s="6" t="inlineStr">
        <is>
          <t>High Street</t>
        </is>
      </c>
      <c r="E184" s="8">
        <f>IF(D184="High Street",1,0)</f>
        <v/>
      </c>
      <c r="F184" s="8">
        <f>IF(D184="Airport",1,0)</f>
        <v/>
      </c>
      <c r="G184" s="8">
        <f>IF(D184="Mall",1,0)</f>
        <v/>
      </c>
      <c r="H184" s="8">
        <f>IF(C184="North",1,0)</f>
        <v/>
      </c>
      <c r="I184" s="8">
        <f>IF(C184="South",1,0)</f>
        <v/>
      </c>
      <c r="J184" s="8">
        <f>IF(C184="West",1,0)</f>
        <v/>
      </c>
    </row>
    <row r="185">
      <c r="A185" s="2" t="inlineStr">
        <is>
          <t>STR-1048</t>
        </is>
      </c>
      <c r="B185" s="3" t="n">
        <v>45689</v>
      </c>
      <c r="C185" s="2" t="inlineStr">
        <is>
          <t>East</t>
        </is>
      </c>
      <c r="D185" s="2" t="inlineStr">
        <is>
          <t>High Street</t>
        </is>
      </c>
      <c r="E185" s="5">
        <f>IF(D185="High Street",1,0)</f>
        <v/>
      </c>
      <c r="F185" s="5">
        <f>IF(D185="Airport",1,0)</f>
        <v/>
      </c>
      <c r="G185" s="5">
        <f>IF(D185="Mall",1,0)</f>
        <v/>
      </c>
      <c r="H185" s="5">
        <f>IF(C185="North",1,0)</f>
        <v/>
      </c>
      <c r="I185" s="5">
        <f>IF(C185="South",1,0)</f>
        <v/>
      </c>
      <c r="J185" s="5">
        <f>IF(C185="West",1,0)</f>
        <v/>
      </c>
    </row>
    <row r="186">
      <c r="A186" s="6" t="inlineStr">
        <is>
          <t>STR-1048</t>
        </is>
      </c>
      <c r="B186" s="7" t="n">
        <v>45717</v>
      </c>
      <c r="C186" s="6" t="inlineStr">
        <is>
          <t>East</t>
        </is>
      </c>
      <c r="D186" s="6" t="inlineStr">
        <is>
          <t>High Street</t>
        </is>
      </c>
      <c r="E186" s="8">
        <f>IF(D186="High Street",1,0)</f>
        <v/>
      </c>
      <c r="F186" s="8">
        <f>IF(D186="Airport",1,0)</f>
        <v/>
      </c>
      <c r="G186" s="8">
        <f>IF(D186="Mall",1,0)</f>
        <v/>
      </c>
      <c r="H186" s="8">
        <f>IF(C186="North",1,0)</f>
        <v/>
      </c>
      <c r="I186" s="8">
        <f>IF(C186="South",1,0)</f>
        <v/>
      </c>
      <c r="J186" s="8">
        <f>IF(C186="West",1,0)</f>
        <v/>
      </c>
    </row>
    <row r="187">
      <c r="A187" s="2" t="inlineStr">
        <is>
          <t>STR-1048</t>
        </is>
      </c>
      <c r="B187" s="3" t="n">
        <v>45748</v>
      </c>
      <c r="C187" s="2" t="inlineStr">
        <is>
          <t>East</t>
        </is>
      </c>
      <c r="D187" s="2" t="inlineStr">
        <is>
          <t>High Street</t>
        </is>
      </c>
      <c r="E187" s="5">
        <f>IF(D187="High Street",1,0)</f>
        <v/>
      </c>
      <c r="F187" s="5">
        <f>IF(D187="Airport",1,0)</f>
        <v/>
      </c>
      <c r="G187" s="5">
        <f>IF(D187="Mall",1,0)</f>
        <v/>
      </c>
      <c r="H187" s="5">
        <f>IF(C187="North",1,0)</f>
        <v/>
      </c>
      <c r="I187" s="5">
        <f>IF(C187="South",1,0)</f>
        <v/>
      </c>
      <c r="J187" s="5">
        <f>IF(C187="West",1,0)</f>
        <v/>
      </c>
    </row>
    <row r="188">
      <c r="A188" s="6" t="inlineStr">
        <is>
          <t>STR-1049</t>
        </is>
      </c>
      <c r="B188" s="7" t="n">
        <v>45658</v>
      </c>
      <c r="C188" s="6" t="inlineStr">
        <is>
          <t>West</t>
        </is>
      </c>
      <c r="D188" s="6" t="inlineStr">
        <is>
          <t>Residential</t>
        </is>
      </c>
      <c r="E188" s="8">
        <f>IF(D188="High Street",1,0)</f>
        <v/>
      </c>
      <c r="F188" s="8">
        <f>IF(D188="Airport",1,0)</f>
        <v/>
      </c>
      <c r="G188" s="8">
        <f>IF(D188="Mall",1,0)</f>
        <v/>
      </c>
      <c r="H188" s="8">
        <f>IF(C188="North",1,0)</f>
        <v/>
      </c>
      <c r="I188" s="8">
        <f>IF(C188="South",1,0)</f>
        <v/>
      </c>
      <c r="J188" s="8">
        <f>IF(C188="West",1,0)</f>
        <v/>
      </c>
    </row>
    <row r="189">
      <c r="A189" s="2" t="inlineStr">
        <is>
          <t>STR-1049</t>
        </is>
      </c>
      <c r="B189" s="3" t="n">
        <v>45689</v>
      </c>
      <c r="C189" s="2" t="inlineStr">
        <is>
          <t>West</t>
        </is>
      </c>
      <c r="D189" s="2" t="inlineStr">
        <is>
          <t>Residential</t>
        </is>
      </c>
      <c r="E189" s="5">
        <f>IF(D189="High Street",1,0)</f>
        <v/>
      </c>
      <c r="F189" s="5">
        <f>IF(D189="Airport",1,0)</f>
        <v/>
      </c>
      <c r="G189" s="5">
        <f>IF(D189="Mall",1,0)</f>
        <v/>
      </c>
      <c r="H189" s="5">
        <f>IF(C189="North",1,0)</f>
        <v/>
      </c>
      <c r="I189" s="5">
        <f>IF(C189="South",1,0)</f>
        <v/>
      </c>
      <c r="J189" s="5">
        <f>IF(C189="West",1,0)</f>
        <v/>
      </c>
    </row>
    <row r="190">
      <c r="A190" s="6" t="inlineStr">
        <is>
          <t>STR-1049</t>
        </is>
      </c>
      <c r="B190" s="7" t="n">
        <v>45717</v>
      </c>
      <c r="C190" s="6" t="inlineStr">
        <is>
          <t>West</t>
        </is>
      </c>
      <c r="D190" s="6" t="inlineStr">
        <is>
          <t>Residential</t>
        </is>
      </c>
      <c r="E190" s="8">
        <f>IF(D190="High Street",1,0)</f>
        <v/>
      </c>
      <c r="F190" s="8">
        <f>IF(D190="Airport",1,0)</f>
        <v/>
      </c>
      <c r="G190" s="8">
        <f>IF(D190="Mall",1,0)</f>
        <v/>
      </c>
      <c r="H190" s="8">
        <f>IF(C190="North",1,0)</f>
        <v/>
      </c>
      <c r="I190" s="8">
        <f>IF(C190="South",1,0)</f>
        <v/>
      </c>
      <c r="J190" s="8">
        <f>IF(C190="West",1,0)</f>
        <v/>
      </c>
    </row>
    <row r="191">
      <c r="A191" s="2" t="inlineStr">
        <is>
          <t>STR-1050</t>
        </is>
      </c>
      <c r="B191" s="3" t="n">
        <v>45658</v>
      </c>
      <c r="C191" s="2" t="inlineStr">
        <is>
          <t>North</t>
        </is>
      </c>
      <c r="D191" s="2" t="inlineStr">
        <is>
          <t>Residential</t>
        </is>
      </c>
      <c r="E191" s="5">
        <f>IF(D191="High Street",1,0)</f>
        <v/>
      </c>
      <c r="F191" s="5">
        <f>IF(D191="Airport",1,0)</f>
        <v/>
      </c>
      <c r="G191" s="5">
        <f>IF(D191="Mall",1,0)</f>
        <v/>
      </c>
      <c r="H191" s="5">
        <f>IF(C191="North",1,0)</f>
        <v/>
      </c>
      <c r="I191" s="5">
        <f>IF(C191="South",1,0)</f>
        <v/>
      </c>
      <c r="J191" s="5">
        <f>IF(C191="West",1,0)</f>
        <v/>
      </c>
    </row>
    <row r="192">
      <c r="A192" s="6" t="inlineStr">
        <is>
          <t>STR-1050</t>
        </is>
      </c>
      <c r="B192" s="7" t="n">
        <v>45689</v>
      </c>
      <c r="C192" s="6" t="inlineStr">
        <is>
          <t>North</t>
        </is>
      </c>
      <c r="D192" s="6" t="inlineStr">
        <is>
          <t>Residential</t>
        </is>
      </c>
      <c r="E192" s="8">
        <f>IF(D192="High Street",1,0)</f>
        <v/>
      </c>
      <c r="F192" s="8">
        <f>IF(D192="Airport",1,0)</f>
        <v/>
      </c>
      <c r="G192" s="8">
        <f>IF(D192="Mall",1,0)</f>
        <v/>
      </c>
      <c r="H192" s="8">
        <f>IF(C192="North",1,0)</f>
        <v/>
      </c>
      <c r="I192" s="8">
        <f>IF(C192="South",1,0)</f>
        <v/>
      </c>
      <c r="J192" s="8">
        <f>IF(C192="West",1,0)</f>
        <v/>
      </c>
    </row>
    <row r="193">
      <c r="A193" s="2" t="inlineStr">
        <is>
          <t>STR-1050</t>
        </is>
      </c>
      <c r="B193" s="3" t="n">
        <v>45717</v>
      </c>
      <c r="C193" s="2" t="inlineStr">
        <is>
          <t>North</t>
        </is>
      </c>
      <c r="D193" s="2" t="inlineStr">
        <is>
          <t>Residential</t>
        </is>
      </c>
      <c r="E193" s="5">
        <f>IF(D193="High Street",1,0)</f>
        <v/>
      </c>
      <c r="F193" s="5">
        <f>IF(D193="Airport",1,0)</f>
        <v/>
      </c>
      <c r="G193" s="5">
        <f>IF(D193="Mall",1,0)</f>
        <v/>
      </c>
      <c r="H193" s="5">
        <f>IF(C193="North",1,0)</f>
        <v/>
      </c>
      <c r="I193" s="5">
        <f>IF(C193="South",1,0)</f>
        <v/>
      </c>
      <c r="J193" s="5">
        <f>IF(C193="West",1,0)</f>
        <v/>
      </c>
    </row>
    <row r="194">
      <c r="A194" s="6" t="inlineStr">
        <is>
          <t>STR-1050</t>
        </is>
      </c>
      <c r="B194" s="7" t="n">
        <v>45748</v>
      </c>
      <c r="C194" s="6" t="inlineStr">
        <is>
          <t>North</t>
        </is>
      </c>
      <c r="D194" s="6" t="inlineStr">
        <is>
          <t>Residential</t>
        </is>
      </c>
      <c r="E194" s="8">
        <f>IF(D194="High Street",1,0)</f>
        <v/>
      </c>
      <c r="F194" s="8">
        <f>IF(D194="Airport",1,0)</f>
        <v/>
      </c>
      <c r="G194" s="8">
        <f>IF(D194="Mall",1,0)</f>
        <v/>
      </c>
      <c r="H194" s="8">
        <f>IF(C194="North",1,0)</f>
        <v/>
      </c>
      <c r="I194" s="8">
        <f>IF(C194="South",1,0)</f>
        <v/>
      </c>
      <c r="J194" s="8">
        <f>IF(C194="West",1,0)</f>
        <v/>
      </c>
    </row>
    <row r="195">
      <c r="A195" s="2" t="inlineStr">
        <is>
          <t>STR-1051</t>
        </is>
      </c>
      <c r="B195" s="3" t="n">
        <v>45658</v>
      </c>
      <c r="C195" s="2" t="inlineStr">
        <is>
          <t>East</t>
        </is>
      </c>
      <c r="D195" s="2" t="inlineStr">
        <is>
          <t>Airport</t>
        </is>
      </c>
      <c r="E195" s="5">
        <f>IF(D195="High Street",1,0)</f>
        <v/>
      </c>
      <c r="F195" s="5">
        <f>IF(D195="Airport",1,0)</f>
        <v/>
      </c>
      <c r="G195" s="5">
        <f>IF(D195="Mall",1,0)</f>
        <v/>
      </c>
      <c r="H195" s="5">
        <f>IF(C195="North",1,0)</f>
        <v/>
      </c>
      <c r="I195" s="5">
        <f>IF(C195="South",1,0)</f>
        <v/>
      </c>
      <c r="J195" s="5">
        <f>IF(C195="West",1,0)</f>
        <v/>
      </c>
    </row>
    <row r="196">
      <c r="A196" s="6" t="inlineStr">
        <is>
          <t>STR-1051</t>
        </is>
      </c>
      <c r="B196" s="7" t="n">
        <v>45689</v>
      </c>
      <c r="C196" s="6" t="inlineStr">
        <is>
          <t>East</t>
        </is>
      </c>
      <c r="D196" s="6" t="inlineStr">
        <is>
          <t>Airport</t>
        </is>
      </c>
      <c r="E196" s="8">
        <f>IF(D196="High Street",1,0)</f>
        <v/>
      </c>
      <c r="F196" s="8">
        <f>IF(D196="Airport",1,0)</f>
        <v/>
      </c>
      <c r="G196" s="8">
        <f>IF(D196="Mall",1,0)</f>
        <v/>
      </c>
      <c r="H196" s="8">
        <f>IF(C196="North",1,0)</f>
        <v/>
      </c>
      <c r="I196" s="8">
        <f>IF(C196="South",1,0)</f>
        <v/>
      </c>
      <c r="J196" s="8">
        <f>IF(C196="West",1,0)</f>
        <v/>
      </c>
    </row>
    <row r="197">
      <c r="A197" s="2" t="inlineStr">
        <is>
          <t>STR-1051</t>
        </is>
      </c>
      <c r="B197" s="3" t="n">
        <v>45717</v>
      </c>
      <c r="C197" s="2" t="inlineStr">
        <is>
          <t>East</t>
        </is>
      </c>
      <c r="D197" s="2" t="inlineStr">
        <is>
          <t>Airport</t>
        </is>
      </c>
      <c r="E197" s="5">
        <f>IF(D197="High Street",1,0)</f>
        <v/>
      </c>
      <c r="F197" s="5">
        <f>IF(D197="Airport",1,0)</f>
        <v/>
      </c>
      <c r="G197" s="5">
        <f>IF(D197="Mall",1,0)</f>
        <v/>
      </c>
      <c r="H197" s="5">
        <f>IF(C197="North",1,0)</f>
        <v/>
      </c>
      <c r="I197" s="5">
        <f>IF(C197="South",1,0)</f>
        <v/>
      </c>
      <c r="J197" s="5">
        <f>IF(C197="West",1,0)</f>
        <v/>
      </c>
    </row>
    <row r="198">
      <c r="A198" s="6" t="inlineStr">
        <is>
          <t>STR-1051</t>
        </is>
      </c>
      <c r="B198" s="7" t="n">
        <v>45748</v>
      </c>
      <c r="C198" s="6" t="inlineStr">
        <is>
          <t>East</t>
        </is>
      </c>
      <c r="D198" s="6" t="inlineStr">
        <is>
          <t>Airport</t>
        </is>
      </c>
      <c r="E198" s="8">
        <f>IF(D198="High Street",1,0)</f>
        <v/>
      </c>
      <c r="F198" s="8">
        <f>IF(D198="Airport",1,0)</f>
        <v/>
      </c>
      <c r="G198" s="8">
        <f>IF(D198="Mall",1,0)</f>
        <v/>
      </c>
      <c r="H198" s="8">
        <f>IF(C198="North",1,0)</f>
        <v/>
      </c>
      <c r="I198" s="8">
        <f>IF(C198="South",1,0)</f>
        <v/>
      </c>
      <c r="J198" s="8">
        <f>IF(C198="West",1,0)</f>
        <v/>
      </c>
    </row>
    <row r="199">
      <c r="A199" s="2" t="inlineStr">
        <is>
          <t>STR-1052</t>
        </is>
      </c>
      <c r="B199" s="3" t="n">
        <v>45658</v>
      </c>
      <c r="C199" s="2" t="inlineStr">
        <is>
          <t>East</t>
        </is>
      </c>
      <c r="D199" s="2" t="inlineStr">
        <is>
          <t>Mall</t>
        </is>
      </c>
      <c r="E199" s="5">
        <f>IF(D199="High Street",1,0)</f>
        <v/>
      </c>
      <c r="F199" s="5">
        <f>IF(D199="Airport",1,0)</f>
        <v/>
      </c>
      <c r="G199" s="5">
        <f>IF(D199="Mall",1,0)</f>
        <v/>
      </c>
      <c r="H199" s="5">
        <f>IF(C199="North",1,0)</f>
        <v/>
      </c>
      <c r="I199" s="5">
        <f>IF(C199="South",1,0)</f>
        <v/>
      </c>
      <c r="J199" s="5">
        <f>IF(C199="West",1,0)</f>
        <v/>
      </c>
    </row>
    <row r="200">
      <c r="A200" s="6" t="inlineStr">
        <is>
          <t>STR-1052</t>
        </is>
      </c>
      <c r="B200" s="7" t="n">
        <v>45689</v>
      </c>
      <c r="C200" s="6" t="inlineStr">
        <is>
          <t>East</t>
        </is>
      </c>
      <c r="D200" s="6" t="inlineStr">
        <is>
          <t>Mall</t>
        </is>
      </c>
      <c r="E200" s="8">
        <f>IF(D200="High Street",1,0)</f>
        <v/>
      </c>
      <c r="F200" s="8">
        <f>IF(D200="Airport",1,0)</f>
        <v/>
      </c>
      <c r="G200" s="8">
        <f>IF(D200="Mall",1,0)</f>
        <v/>
      </c>
      <c r="H200" s="8">
        <f>IF(C200="North",1,0)</f>
        <v/>
      </c>
      <c r="I200" s="8">
        <f>IF(C200="South",1,0)</f>
        <v/>
      </c>
      <c r="J200" s="8">
        <f>IF(C200="West",1,0)</f>
        <v/>
      </c>
    </row>
    <row r="201">
      <c r="A201" s="2" t="inlineStr">
        <is>
          <t>STR-1052</t>
        </is>
      </c>
      <c r="B201" s="3" t="n">
        <v>45717</v>
      </c>
      <c r="C201" s="2" t="inlineStr">
        <is>
          <t>East</t>
        </is>
      </c>
      <c r="D201" s="2" t="inlineStr">
        <is>
          <t>Mall</t>
        </is>
      </c>
      <c r="E201" s="5">
        <f>IF(D201="High Street",1,0)</f>
        <v/>
      </c>
      <c r="F201" s="5">
        <f>IF(D201="Airport",1,0)</f>
        <v/>
      </c>
      <c r="G201" s="5">
        <f>IF(D201="Mall",1,0)</f>
        <v/>
      </c>
      <c r="H201" s="5">
        <f>IF(C201="North",1,0)</f>
        <v/>
      </c>
      <c r="I201" s="5">
        <f>IF(C201="South",1,0)</f>
        <v/>
      </c>
      <c r="J201" s="5">
        <f>IF(C201="West",1,0)</f>
        <v/>
      </c>
    </row>
    <row r="202">
      <c r="A202" s="6" t="inlineStr">
        <is>
          <t>STR-1052</t>
        </is>
      </c>
      <c r="B202" s="7" t="n">
        <v>45748</v>
      </c>
      <c r="C202" s="6" t="inlineStr">
        <is>
          <t>East</t>
        </is>
      </c>
      <c r="D202" s="6" t="inlineStr">
        <is>
          <t>Mall</t>
        </is>
      </c>
      <c r="E202" s="8">
        <f>IF(D202="High Street",1,0)</f>
        <v/>
      </c>
      <c r="F202" s="8">
        <f>IF(D202="Airport",1,0)</f>
        <v/>
      </c>
      <c r="G202" s="8">
        <f>IF(D202="Mall",1,0)</f>
        <v/>
      </c>
      <c r="H202" s="8">
        <f>IF(C202="North",1,0)</f>
        <v/>
      </c>
      <c r="I202" s="8">
        <f>IF(C202="South",1,0)</f>
        <v/>
      </c>
      <c r="J202" s="8">
        <f>IF(C202="West",1,0)</f>
        <v/>
      </c>
    </row>
    <row r="203">
      <c r="A203" s="2" t="inlineStr">
        <is>
          <t>STR-1053</t>
        </is>
      </c>
      <c r="B203" s="3" t="n">
        <v>45658</v>
      </c>
      <c r="C203" s="2" t="inlineStr">
        <is>
          <t>East</t>
        </is>
      </c>
      <c r="D203" s="2" t="inlineStr">
        <is>
          <t>High Street</t>
        </is>
      </c>
      <c r="E203" s="5">
        <f>IF(D203="High Street",1,0)</f>
        <v/>
      </c>
      <c r="F203" s="5">
        <f>IF(D203="Airport",1,0)</f>
        <v/>
      </c>
      <c r="G203" s="5">
        <f>IF(D203="Mall",1,0)</f>
        <v/>
      </c>
      <c r="H203" s="5">
        <f>IF(C203="North",1,0)</f>
        <v/>
      </c>
      <c r="I203" s="5">
        <f>IF(C203="South",1,0)</f>
        <v/>
      </c>
      <c r="J203" s="5">
        <f>IF(C203="West",1,0)</f>
        <v/>
      </c>
    </row>
    <row r="204">
      <c r="A204" s="6" t="inlineStr">
        <is>
          <t>STR-1053</t>
        </is>
      </c>
      <c r="B204" s="7" t="n">
        <v>45689</v>
      </c>
      <c r="C204" s="6" t="inlineStr">
        <is>
          <t>East</t>
        </is>
      </c>
      <c r="D204" s="6" t="inlineStr">
        <is>
          <t>High Street</t>
        </is>
      </c>
      <c r="E204" s="8">
        <f>IF(D204="High Street",1,0)</f>
        <v/>
      </c>
      <c r="F204" s="8">
        <f>IF(D204="Airport",1,0)</f>
        <v/>
      </c>
      <c r="G204" s="8">
        <f>IF(D204="Mall",1,0)</f>
        <v/>
      </c>
      <c r="H204" s="8">
        <f>IF(C204="North",1,0)</f>
        <v/>
      </c>
      <c r="I204" s="8">
        <f>IF(C204="South",1,0)</f>
        <v/>
      </c>
      <c r="J204" s="8">
        <f>IF(C204="West",1,0)</f>
        <v/>
      </c>
    </row>
    <row r="205">
      <c r="A205" s="2" t="inlineStr">
        <is>
          <t>STR-1053</t>
        </is>
      </c>
      <c r="B205" s="3" t="n">
        <v>45717</v>
      </c>
      <c r="C205" s="2" t="inlineStr">
        <is>
          <t>East</t>
        </is>
      </c>
      <c r="D205" s="2" t="inlineStr">
        <is>
          <t>High Street</t>
        </is>
      </c>
      <c r="E205" s="5">
        <f>IF(D205="High Street",1,0)</f>
        <v/>
      </c>
      <c r="F205" s="5">
        <f>IF(D205="Airport",1,0)</f>
        <v/>
      </c>
      <c r="G205" s="5">
        <f>IF(D205="Mall",1,0)</f>
        <v/>
      </c>
      <c r="H205" s="5">
        <f>IF(C205="North",1,0)</f>
        <v/>
      </c>
      <c r="I205" s="5">
        <f>IF(C205="South",1,0)</f>
        <v/>
      </c>
      <c r="J205" s="5">
        <f>IF(C205="West",1,0)</f>
        <v/>
      </c>
    </row>
    <row r="206">
      <c r="A206" s="6" t="inlineStr">
        <is>
          <t>STR-1053</t>
        </is>
      </c>
      <c r="B206" s="7" t="n">
        <v>45748</v>
      </c>
      <c r="C206" s="6" t="inlineStr">
        <is>
          <t>East</t>
        </is>
      </c>
      <c r="D206" s="6" t="inlineStr">
        <is>
          <t>High Street</t>
        </is>
      </c>
      <c r="E206" s="8">
        <f>IF(D206="High Street",1,0)</f>
        <v/>
      </c>
      <c r="F206" s="8">
        <f>IF(D206="Airport",1,0)</f>
        <v/>
      </c>
      <c r="G206" s="8">
        <f>IF(D206="Mall",1,0)</f>
        <v/>
      </c>
      <c r="H206" s="8">
        <f>IF(C206="North",1,0)</f>
        <v/>
      </c>
      <c r="I206" s="8">
        <f>IF(C206="South",1,0)</f>
        <v/>
      </c>
      <c r="J206" s="8">
        <f>IF(C206="West",1,0)</f>
        <v/>
      </c>
    </row>
    <row r="207">
      <c r="A207" s="2" t="inlineStr">
        <is>
          <t>STR-1054</t>
        </is>
      </c>
      <c r="B207" s="3" t="n">
        <v>45658</v>
      </c>
      <c r="C207" s="2" t="inlineStr">
        <is>
          <t>West</t>
        </is>
      </c>
      <c r="D207" s="2" t="inlineStr">
        <is>
          <t>Residential</t>
        </is>
      </c>
      <c r="E207" s="5">
        <f>IF(D207="High Street",1,0)</f>
        <v/>
      </c>
      <c r="F207" s="5">
        <f>IF(D207="Airport",1,0)</f>
        <v/>
      </c>
      <c r="G207" s="5">
        <f>IF(D207="Mall",1,0)</f>
        <v/>
      </c>
      <c r="H207" s="5">
        <f>IF(C207="North",1,0)</f>
        <v/>
      </c>
      <c r="I207" s="5">
        <f>IF(C207="South",1,0)</f>
        <v/>
      </c>
      <c r="J207" s="5">
        <f>IF(C207="West",1,0)</f>
        <v/>
      </c>
    </row>
    <row r="208">
      <c r="A208" s="6" t="inlineStr">
        <is>
          <t>STR-1054</t>
        </is>
      </c>
      <c r="B208" s="7" t="n">
        <v>45689</v>
      </c>
      <c r="C208" s="6" t="inlineStr">
        <is>
          <t>West</t>
        </is>
      </c>
      <c r="D208" s="6" t="inlineStr">
        <is>
          <t>Residential</t>
        </is>
      </c>
      <c r="E208" s="8">
        <f>IF(D208="High Street",1,0)</f>
        <v/>
      </c>
      <c r="F208" s="8">
        <f>IF(D208="Airport",1,0)</f>
        <v/>
      </c>
      <c r="G208" s="8">
        <f>IF(D208="Mall",1,0)</f>
        <v/>
      </c>
      <c r="H208" s="8">
        <f>IF(C208="North",1,0)</f>
        <v/>
      </c>
      <c r="I208" s="8">
        <f>IF(C208="South",1,0)</f>
        <v/>
      </c>
      <c r="J208" s="8">
        <f>IF(C208="West",1,0)</f>
        <v/>
      </c>
    </row>
    <row r="209">
      <c r="A209" s="2" t="inlineStr">
        <is>
          <t>STR-1054</t>
        </is>
      </c>
      <c r="B209" s="3" t="n">
        <v>45717</v>
      </c>
      <c r="C209" s="2" t="inlineStr">
        <is>
          <t>West</t>
        </is>
      </c>
      <c r="D209" s="2" t="inlineStr">
        <is>
          <t>Residential</t>
        </is>
      </c>
      <c r="E209" s="5">
        <f>IF(D209="High Street",1,0)</f>
        <v/>
      </c>
      <c r="F209" s="5">
        <f>IF(D209="Airport",1,0)</f>
        <v/>
      </c>
      <c r="G209" s="5">
        <f>IF(D209="Mall",1,0)</f>
        <v/>
      </c>
      <c r="H209" s="5">
        <f>IF(C209="North",1,0)</f>
        <v/>
      </c>
      <c r="I209" s="5">
        <f>IF(C209="South",1,0)</f>
        <v/>
      </c>
      <c r="J209" s="5">
        <f>IF(C209="West",1,0)</f>
        <v/>
      </c>
    </row>
    <row r="210">
      <c r="A210" s="6" t="inlineStr">
        <is>
          <t>STR-1054</t>
        </is>
      </c>
      <c r="B210" s="7" t="n">
        <v>45748</v>
      </c>
      <c r="C210" s="6" t="inlineStr">
        <is>
          <t>West</t>
        </is>
      </c>
      <c r="D210" s="6" t="inlineStr">
        <is>
          <t>Residential</t>
        </is>
      </c>
      <c r="E210" s="8">
        <f>IF(D210="High Street",1,0)</f>
        <v/>
      </c>
      <c r="F210" s="8">
        <f>IF(D210="Airport",1,0)</f>
        <v/>
      </c>
      <c r="G210" s="8">
        <f>IF(D210="Mall",1,0)</f>
        <v/>
      </c>
      <c r="H210" s="8">
        <f>IF(C210="North",1,0)</f>
        <v/>
      </c>
      <c r="I210" s="8">
        <f>IF(C210="South",1,0)</f>
        <v/>
      </c>
      <c r="J210" s="8">
        <f>IF(C210="West",1,0)</f>
        <v/>
      </c>
    </row>
    <row r="211">
      <c r="A211" s="2" t="inlineStr">
        <is>
          <t>STR-1055</t>
        </is>
      </c>
      <c r="B211" s="3" t="n">
        <v>45658</v>
      </c>
      <c r="C211" s="2" t="inlineStr">
        <is>
          <t>North</t>
        </is>
      </c>
      <c r="D211" s="2" t="inlineStr">
        <is>
          <t>Airport</t>
        </is>
      </c>
      <c r="E211" s="5">
        <f>IF(D211="High Street",1,0)</f>
        <v/>
      </c>
      <c r="F211" s="5">
        <f>IF(D211="Airport",1,0)</f>
        <v/>
      </c>
      <c r="G211" s="5">
        <f>IF(D211="Mall",1,0)</f>
        <v/>
      </c>
      <c r="H211" s="5">
        <f>IF(C211="North",1,0)</f>
        <v/>
      </c>
      <c r="I211" s="5">
        <f>IF(C211="South",1,0)</f>
        <v/>
      </c>
      <c r="J211" s="5">
        <f>IF(C211="West",1,0)</f>
        <v/>
      </c>
    </row>
    <row r="212">
      <c r="A212" s="6" t="inlineStr">
        <is>
          <t>STR-1055</t>
        </is>
      </c>
      <c r="B212" s="7" t="n">
        <v>45689</v>
      </c>
      <c r="C212" s="6" t="inlineStr">
        <is>
          <t>North</t>
        </is>
      </c>
      <c r="D212" s="6" t="inlineStr">
        <is>
          <t>Airport</t>
        </is>
      </c>
      <c r="E212" s="8">
        <f>IF(D212="High Street",1,0)</f>
        <v/>
      </c>
      <c r="F212" s="8">
        <f>IF(D212="Airport",1,0)</f>
        <v/>
      </c>
      <c r="G212" s="8">
        <f>IF(D212="Mall",1,0)</f>
        <v/>
      </c>
      <c r="H212" s="8">
        <f>IF(C212="North",1,0)</f>
        <v/>
      </c>
      <c r="I212" s="8">
        <f>IF(C212="South",1,0)</f>
        <v/>
      </c>
      <c r="J212" s="8">
        <f>IF(C212="West",1,0)</f>
        <v/>
      </c>
    </row>
    <row r="213">
      <c r="A213" s="2" t="inlineStr">
        <is>
          <t>STR-1055</t>
        </is>
      </c>
      <c r="B213" s="3" t="n">
        <v>45717</v>
      </c>
      <c r="C213" s="2" t="inlineStr">
        <is>
          <t>North</t>
        </is>
      </c>
      <c r="D213" s="2" t="inlineStr">
        <is>
          <t>Airport</t>
        </is>
      </c>
      <c r="E213" s="5">
        <f>IF(D213="High Street",1,0)</f>
        <v/>
      </c>
      <c r="F213" s="5">
        <f>IF(D213="Airport",1,0)</f>
        <v/>
      </c>
      <c r="G213" s="5">
        <f>IF(D213="Mall",1,0)</f>
        <v/>
      </c>
      <c r="H213" s="5">
        <f>IF(C213="North",1,0)</f>
        <v/>
      </c>
      <c r="I213" s="5">
        <f>IF(C213="South",1,0)</f>
        <v/>
      </c>
      <c r="J213" s="5">
        <f>IF(C213="West",1,0)</f>
        <v/>
      </c>
    </row>
    <row r="214">
      <c r="A214" s="6" t="inlineStr">
        <is>
          <t>STR-1055</t>
        </is>
      </c>
      <c r="B214" s="7" t="n">
        <v>45748</v>
      </c>
      <c r="C214" s="6" t="inlineStr">
        <is>
          <t>North</t>
        </is>
      </c>
      <c r="D214" s="6" t="inlineStr">
        <is>
          <t>Airport</t>
        </is>
      </c>
      <c r="E214" s="8">
        <f>IF(D214="High Street",1,0)</f>
        <v/>
      </c>
      <c r="F214" s="8">
        <f>IF(D214="Airport",1,0)</f>
        <v/>
      </c>
      <c r="G214" s="8">
        <f>IF(D214="Mall",1,0)</f>
        <v/>
      </c>
      <c r="H214" s="8">
        <f>IF(C214="North",1,0)</f>
        <v/>
      </c>
      <c r="I214" s="8">
        <f>IF(C214="South",1,0)</f>
        <v/>
      </c>
      <c r="J214" s="8">
        <f>IF(C214="West",1,0)</f>
        <v/>
      </c>
    </row>
    <row r="215">
      <c r="A215" s="2" t="inlineStr">
        <is>
          <t>STR-1056</t>
        </is>
      </c>
      <c r="B215" s="3" t="n">
        <v>45658</v>
      </c>
      <c r="C215" s="2" t="inlineStr">
        <is>
          <t>East</t>
        </is>
      </c>
      <c r="D215" s="2" t="inlineStr">
        <is>
          <t>High Street</t>
        </is>
      </c>
      <c r="E215" s="5">
        <f>IF(D215="High Street",1,0)</f>
        <v/>
      </c>
      <c r="F215" s="5">
        <f>IF(D215="Airport",1,0)</f>
        <v/>
      </c>
      <c r="G215" s="5">
        <f>IF(D215="Mall",1,0)</f>
        <v/>
      </c>
      <c r="H215" s="5">
        <f>IF(C215="North",1,0)</f>
        <v/>
      </c>
      <c r="I215" s="5">
        <f>IF(C215="South",1,0)</f>
        <v/>
      </c>
      <c r="J215" s="5">
        <f>IF(C215="West",1,0)</f>
        <v/>
      </c>
    </row>
    <row r="216">
      <c r="A216" s="6" t="inlineStr">
        <is>
          <t>STR-1056</t>
        </is>
      </c>
      <c r="B216" s="7" t="n">
        <v>45689</v>
      </c>
      <c r="C216" s="6" t="inlineStr">
        <is>
          <t>East</t>
        </is>
      </c>
      <c r="D216" s="6" t="inlineStr">
        <is>
          <t>High Street</t>
        </is>
      </c>
      <c r="E216" s="8">
        <f>IF(D216="High Street",1,0)</f>
        <v/>
      </c>
      <c r="F216" s="8">
        <f>IF(D216="Airport",1,0)</f>
        <v/>
      </c>
      <c r="G216" s="8">
        <f>IF(D216="Mall",1,0)</f>
        <v/>
      </c>
      <c r="H216" s="8">
        <f>IF(C216="North",1,0)</f>
        <v/>
      </c>
      <c r="I216" s="8">
        <f>IF(C216="South",1,0)</f>
        <v/>
      </c>
      <c r="J216" s="8">
        <f>IF(C216="West",1,0)</f>
        <v/>
      </c>
    </row>
    <row r="217">
      <c r="A217" s="2" t="inlineStr">
        <is>
          <t>STR-1056</t>
        </is>
      </c>
      <c r="B217" s="3" t="n">
        <v>45717</v>
      </c>
      <c r="C217" s="2" t="inlineStr">
        <is>
          <t>East</t>
        </is>
      </c>
      <c r="D217" s="2" t="inlineStr">
        <is>
          <t>High Street</t>
        </is>
      </c>
      <c r="E217" s="5">
        <f>IF(D217="High Street",1,0)</f>
        <v/>
      </c>
      <c r="F217" s="5">
        <f>IF(D217="Airport",1,0)</f>
        <v/>
      </c>
      <c r="G217" s="5">
        <f>IF(D217="Mall",1,0)</f>
        <v/>
      </c>
      <c r="H217" s="5">
        <f>IF(C217="North",1,0)</f>
        <v/>
      </c>
      <c r="I217" s="5">
        <f>IF(C217="South",1,0)</f>
        <v/>
      </c>
      <c r="J217" s="5">
        <f>IF(C217="West",1,0)</f>
        <v/>
      </c>
    </row>
    <row r="218">
      <c r="A218" s="6" t="inlineStr">
        <is>
          <t>STR-1056</t>
        </is>
      </c>
      <c r="B218" s="7" t="n">
        <v>45748</v>
      </c>
      <c r="C218" s="6" t="inlineStr">
        <is>
          <t>East</t>
        </is>
      </c>
      <c r="D218" s="6" t="inlineStr">
        <is>
          <t>High Street</t>
        </is>
      </c>
      <c r="E218" s="8">
        <f>IF(D218="High Street",1,0)</f>
        <v/>
      </c>
      <c r="F218" s="8">
        <f>IF(D218="Airport",1,0)</f>
        <v/>
      </c>
      <c r="G218" s="8">
        <f>IF(D218="Mall",1,0)</f>
        <v/>
      </c>
      <c r="H218" s="8">
        <f>IF(C218="North",1,0)</f>
        <v/>
      </c>
      <c r="I218" s="8">
        <f>IF(C218="South",1,0)</f>
        <v/>
      </c>
      <c r="J218" s="8">
        <f>IF(C218="West",1,0)</f>
        <v/>
      </c>
    </row>
    <row r="219">
      <c r="A219" s="2" t="inlineStr">
        <is>
          <t>STR-1057</t>
        </is>
      </c>
      <c r="B219" s="3" t="n">
        <v>45658</v>
      </c>
      <c r="C219" s="2" t="inlineStr">
        <is>
          <t>East</t>
        </is>
      </c>
      <c r="D219" s="2" t="inlineStr">
        <is>
          <t>Mall</t>
        </is>
      </c>
      <c r="E219" s="5">
        <f>IF(D219="High Street",1,0)</f>
        <v/>
      </c>
      <c r="F219" s="5">
        <f>IF(D219="Airport",1,0)</f>
        <v/>
      </c>
      <c r="G219" s="5">
        <f>IF(D219="Mall",1,0)</f>
        <v/>
      </c>
      <c r="H219" s="5">
        <f>IF(C219="North",1,0)</f>
        <v/>
      </c>
      <c r="I219" s="5">
        <f>IF(C219="South",1,0)</f>
        <v/>
      </c>
      <c r="J219" s="5">
        <f>IF(C219="West",1,0)</f>
        <v/>
      </c>
    </row>
    <row r="220">
      <c r="A220" s="6" t="inlineStr">
        <is>
          <t>STR-1057</t>
        </is>
      </c>
      <c r="B220" s="7" t="n">
        <v>45689</v>
      </c>
      <c r="C220" s="6" t="inlineStr">
        <is>
          <t>East</t>
        </is>
      </c>
      <c r="D220" s="6" t="inlineStr">
        <is>
          <t>Mall</t>
        </is>
      </c>
      <c r="E220" s="8">
        <f>IF(D220="High Street",1,0)</f>
        <v/>
      </c>
      <c r="F220" s="8">
        <f>IF(D220="Airport",1,0)</f>
        <v/>
      </c>
      <c r="G220" s="8">
        <f>IF(D220="Mall",1,0)</f>
        <v/>
      </c>
      <c r="H220" s="8">
        <f>IF(C220="North",1,0)</f>
        <v/>
      </c>
      <c r="I220" s="8">
        <f>IF(C220="South",1,0)</f>
        <v/>
      </c>
      <c r="J220" s="8">
        <f>IF(C220="West",1,0)</f>
        <v/>
      </c>
    </row>
    <row r="221">
      <c r="A221" s="2" t="inlineStr">
        <is>
          <t>STR-1057</t>
        </is>
      </c>
      <c r="B221" s="3" t="n">
        <v>45717</v>
      </c>
      <c r="C221" s="2" t="inlineStr">
        <is>
          <t>East</t>
        </is>
      </c>
      <c r="D221" s="2" t="inlineStr">
        <is>
          <t>Mall</t>
        </is>
      </c>
      <c r="E221" s="5">
        <f>IF(D221="High Street",1,0)</f>
        <v/>
      </c>
      <c r="F221" s="5">
        <f>IF(D221="Airport",1,0)</f>
        <v/>
      </c>
      <c r="G221" s="5">
        <f>IF(D221="Mall",1,0)</f>
        <v/>
      </c>
      <c r="H221" s="5">
        <f>IF(C221="North",1,0)</f>
        <v/>
      </c>
      <c r="I221" s="5">
        <f>IF(C221="South",1,0)</f>
        <v/>
      </c>
      <c r="J221" s="5">
        <f>IF(C221="West",1,0)</f>
        <v/>
      </c>
    </row>
    <row r="222">
      <c r="A222" s="6" t="inlineStr">
        <is>
          <t>STR-1058</t>
        </is>
      </c>
      <c r="B222" s="7" t="n">
        <v>45658</v>
      </c>
      <c r="C222" s="6" t="inlineStr">
        <is>
          <t>East</t>
        </is>
      </c>
      <c r="D222" s="6" t="inlineStr">
        <is>
          <t>High Street</t>
        </is>
      </c>
      <c r="E222" s="8">
        <f>IF(D222="High Street",1,0)</f>
        <v/>
      </c>
      <c r="F222" s="8">
        <f>IF(D222="Airport",1,0)</f>
        <v/>
      </c>
      <c r="G222" s="8">
        <f>IF(D222="Mall",1,0)</f>
        <v/>
      </c>
      <c r="H222" s="8">
        <f>IF(C222="North",1,0)</f>
        <v/>
      </c>
      <c r="I222" s="8">
        <f>IF(C222="South",1,0)</f>
        <v/>
      </c>
      <c r="J222" s="8">
        <f>IF(C222="West",1,0)</f>
        <v/>
      </c>
    </row>
    <row r="223">
      <c r="A223" s="2" t="inlineStr">
        <is>
          <t>STR-1058</t>
        </is>
      </c>
      <c r="B223" s="3" t="n">
        <v>45689</v>
      </c>
      <c r="C223" s="2" t="inlineStr">
        <is>
          <t>East</t>
        </is>
      </c>
      <c r="D223" s="2" t="inlineStr">
        <is>
          <t>High Street</t>
        </is>
      </c>
      <c r="E223" s="5">
        <f>IF(D223="High Street",1,0)</f>
        <v/>
      </c>
      <c r="F223" s="5">
        <f>IF(D223="Airport",1,0)</f>
        <v/>
      </c>
      <c r="G223" s="5">
        <f>IF(D223="Mall",1,0)</f>
        <v/>
      </c>
      <c r="H223" s="5">
        <f>IF(C223="North",1,0)</f>
        <v/>
      </c>
      <c r="I223" s="5">
        <f>IF(C223="South",1,0)</f>
        <v/>
      </c>
      <c r="J223" s="5">
        <f>IF(C223="West",1,0)</f>
        <v/>
      </c>
    </row>
    <row r="224">
      <c r="A224" s="6" t="inlineStr">
        <is>
          <t>STR-1058</t>
        </is>
      </c>
      <c r="B224" s="7" t="n">
        <v>45717</v>
      </c>
      <c r="C224" s="6" t="inlineStr">
        <is>
          <t>East</t>
        </is>
      </c>
      <c r="D224" s="6" t="inlineStr">
        <is>
          <t>High Street</t>
        </is>
      </c>
      <c r="E224" s="8">
        <f>IF(D224="High Street",1,0)</f>
        <v/>
      </c>
      <c r="F224" s="8">
        <f>IF(D224="Airport",1,0)</f>
        <v/>
      </c>
      <c r="G224" s="8">
        <f>IF(D224="Mall",1,0)</f>
        <v/>
      </c>
      <c r="H224" s="8">
        <f>IF(C224="North",1,0)</f>
        <v/>
      </c>
      <c r="I224" s="8">
        <f>IF(C224="South",1,0)</f>
        <v/>
      </c>
      <c r="J224" s="8">
        <f>IF(C224="West",1,0)</f>
        <v/>
      </c>
    </row>
    <row r="225">
      <c r="A225" s="2" t="inlineStr">
        <is>
          <t>STR-1059</t>
        </is>
      </c>
      <c r="B225" s="3" t="n">
        <v>45658</v>
      </c>
      <c r="C225" s="2" t="inlineStr">
        <is>
          <t>West</t>
        </is>
      </c>
      <c r="D225" s="2" t="inlineStr">
        <is>
          <t>Residential</t>
        </is>
      </c>
      <c r="E225" s="5">
        <f>IF(D225="High Street",1,0)</f>
        <v/>
      </c>
      <c r="F225" s="5">
        <f>IF(D225="Airport",1,0)</f>
        <v/>
      </c>
      <c r="G225" s="5">
        <f>IF(D225="Mall",1,0)</f>
        <v/>
      </c>
      <c r="H225" s="5">
        <f>IF(C225="North",1,0)</f>
        <v/>
      </c>
      <c r="I225" s="5">
        <f>IF(C225="South",1,0)</f>
        <v/>
      </c>
      <c r="J225" s="5">
        <f>IF(C225="West",1,0)</f>
        <v/>
      </c>
    </row>
    <row r="226">
      <c r="A226" s="6" t="inlineStr">
        <is>
          <t>STR-1059</t>
        </is>
      </c>
      <c r="B226" s="7" t="n">
        <v>45689</v>
      </c>
      <c r="C226" s="6" t="inlineStr">
        <is>
          <t>West</t>
        </is>
      </c>
      <c r="D226" s="6" t="inlineStr">
        <is>
          <t>Residential</t>
        </is>
      </c>
      <c r="E226" s="8">
        <f>IF(D226="High Street",1,0)</f>
        <v/>
      </c>
      <c r="F226" s="8">
        <f>IF(D226="Airport",1,0)</f>
        <v/>
      </c>
      <c r="G226" s="8">
        <f>IF(D226="Mall",1,0)</f>
        <v/>
      </c>
      <c r="H226" s="8">
        <f>IF(C226="North",1,0)</f>
        <v/>
      </c>
      <c r="I226" s="8">
        <f>IF(C226="South",1,0)</f>
        <v/>
      </c>
      <c r="J226" s="8">
        <f>IF(C226="West",1,0)</f>
        <v/>
      </c>
    </row>
    <row r="227">
      <c r="A227" s="2" t="inlineStr">
        <is>
          <t>STR-1059</t>
        </is>
      </c>
      <c r="B227" s="3" t="n">
        <v>45717</v>
      </c>
      <c r="C227" s="2" t="inlineStr">
        <is>
          <t>West</t>
        </is>
      </c>
      <c r="D227" s="2" t="inlineStr">
        <is>
          <t>Residential</t>
        </is>
      </c>
      <c r="E227" s="5">
        <f>IF(D227="High Street",1,0)</f>
        <v/>
      </c>
      <c r="F227" s="5">
        <f>IF(D227="Airport",1,0)</f>
        <v/>
      </c>
      <c r="G227" s="5">
        <f>IF(D227="Mall",1,0)</f>
        <v/>
      </c>
      <c r="H227" s="5">
        <f>IF(C227="North",1,0)</f>
        <v/>
      </c>
      <c r="I227" s="5">
        <f>IF(C227="South",1,0)</f>
        <v/>
      </c>
      <c r="J227" s="5">
        <f>IF(C227="West",1,0)</f>
        <v/>
      </c>
    </row>
    <row r="228">
      <c r="A228" s="6" t="inlineStr">
        <is>
          <t>STR-1059</t>
        </is>
      </c>
      <c r="B228" s="7" t="n">
        <v>45748</v>
      </c>
      <c r="C228" s="6" t="inlineStr">
        <is>
          <t>West</t>
        </is>
      </c>
      <c r="D228" s="6" t="inlineStr">
        <is>
          <t>Residential</t>
        </is>
      </c>
      <c r="E228" s="8">
        <f>IF(D228="High Street",1,0)</f>
        <v/>
      </c>
      <c r="F228" s="8">
        <f>IF(D228="Airport",1,0)</f>
        <v/>
      </c>
      <c r="G228" s="8">
        <f>IF(D228="Mall",1,0)</f>
        <v/>
      </c>
      <c r="H228" s="8">
        <f>IF(C228="North",1,0)</f>
        <v/>
      </c>
      <c r="I228" s="8">
        <f>IF(C228="South",1,0)</f>
        <v/>
      </c>
      <c r="J228" s="8">
        <f>IF(C228="West",1,0)</f>
        <v/>
      </c>
    </row>
    <row r="229">
      <c r="A229" s="2" t="inlineStr">
        <is>
          <t>STR-1060</t>
        </is>
      </c>
      <c r="B229" s="3" t="n">
        <v>45658</v>
      </c>
      <c r="C229" s="2" t="inlineStr">
        <is>
          <t>West</t>
        </is>
      </c>
      <c r="D229" s="2" t="inlineStr">
        <is>
          <t>Mall</t>
        </is>
      </c>
      <c r="E229" s="5">
        <f>IF(D229="High Street",1,0)</f>
        <v/>
      </c>
      <c r="F229" s="5">
        <f>IF(D229="Airport",1,0)</f>
        <v/>
      </c>
      <c r="G229" s="5">
        <f>IF(D229="Mall",1,0)</f>
        <v/>
      </c>
      <c r="H229" s="5">
        <f>IF(C229="North",1,0)</f>
        <v/>
      </c>
      <c r="I229" s="5">
        <f>IF(C229="South",1,0)</f>
        <v/>
      </c>
      <c r="J229" s="5">
        <f>IF(C229="West",1,0)</f>
        <v/>
      </c>
    </row>
    <row r="230">
      <c r="A230" s="6" t="inlineStr">
        <is>
          <t>STR-1060</t>
        </is>
      </c>
      <c r="B230" s="7" t="n">
        <v>45689</v>
      </c>
      <c r="C230" s="6" t="inlineStr">
        <is>
          <t>West</t>
        </is>
      </c>
      <c r="D230" s="6" t="inlineStr">
        <is>
          <t>Mall</t>
        </is>
      </c>
      <c r="E230" s="8">
        <f>IF(D230="High Street",1,0)</f>
        <v/>
      </c>
      <c r="F230" s="8">
        <f>IF(D230="Airport",1,0)</f>
        <v/>
      </c>
      <c r="G230" s="8">
        <f>IF(D230="Mall",1,0)</f>
        <v/>
      </c>
      <c r="H230" s="8">
        <f>IF(C230="North",1,0)</f>
        <v/>
      </c>
      <c r="I230" s="8">
        <f>IF(C230="South",1,0)</f>
        <v/>
      </c>
      <c r="J230" s="8">
        <f>IF(C230="West",1,0)</f>
        <v/>
      </c>
    </row>
    <row r="231">
      <c r="A231" s="2" t="inlineStr">
        <is>
          <t>STR-1060</t>
        </is>
      </c>
      <c r="B231" s="3" t="n">
        <v>45717</v>
      </c>
      <c r="C231" s="2" t="inlineStr">
        <is>
          <t>West</t>
        </is>
      </c>
      <c r="D231" s="2" t="inlineStr">
        <is>
          <t>Mall</t>
        </is>
      </c>
      <c r="E231" s="5">
        <f>IF(D231="High Street",1,0)</f>
        <v/>
      </c>
      <c r="F231" s="5">
        <f>IF(D231="Airport",1,0)</f>
        <v/>
      </c>
      <c r="G231" s="5">
        <f>IF(D231="Mall",1,0)</f>
        <v/>
      </c>
      <c r="H231" s="5">
        <f>IF(C231="North",1,0)</f>
        <v/>
      </c>
      <c r="I231" s="5">
        <f>IF(C231="South",1,0)</f>
        <v/>
      </c>
      <c r="J231" s="5">
        <f>IF(C231="West",1,0)</f>
        <v/>
      </c>
    </row>
    <row r="232">
      <c r="A232" s="6" t="inlineStr">
        <is>
          <t>STR-1060</t>
        </is>
      </c>
      <c r="B232" s="7" t="n">
        <v>45748</v>
      </c>
      <c r="C232" s="6" t="inlineStr">
        <is>
          <t>West</t>
        </is>
      </c>
      <c r="D232" s="6" t="inlineStr">
        <is>
          <t>Mall</t>
        </is>
      </c>
      <c r="E232" s="8">
        <f>IF(D232="High Street",1,0)</f>
        <v/>
      </c>
      <c r="F232" s="8">
        <f>IF(D232="Airport",1,0)</f>
        <v/>
      </c>
      <c r="G232" s="8">
        <f>IF(D232="Mall",1,0)</f>
        <v/>
      </c>
      <c r="H232" s="8">
        <f>IF(C232="North",1,0)</f>
        <v/>
      </c>
      <c r="I232" s="8">
        <f>IF(C232="South",1,0)</f>
        <v/>
      </c>
      <c r="J232" s="8">
        <f>IF(C232="West",1,0)</f>
        <v/>
      </c>
    </row>
    <row r="233">
      <c r="A233" s="2" t="inlineStr">
        <is>
          <t>STR-1061</t>
        </is>
      </c>
      <c r="B233" s="3" t="n">
        <v>45658</v>
      </c>
      <c r="C233" s="2" t="inlineStr">
        <is>
          <t>South</t>
        </is>
      </c>
      <c r="D233" s="2" t="inlineStr">
        <is>
          <t>Airport</t>
        </is>
      </c>
      <c r="E233" s="5">
        <f>IF(D233="High Street",1,0)</f>
        <v/>
      </c>
      <c r="F233" s="5">
        <f>IF(D233="Airport",1,0)</f>
        <v/>
      </c>
      <c r="G233" s="5">
        <f>IF(D233="Mall",1,0)</f>
        <v/>
      </c>
      <c r="H233" s="5">
        <f>IF(C233="North",1,0)</f>
        <v/>
      </c>
      <c r="I233" s="5">
        <f>IF(C233="South",1,0)</f>
        <v/>
      </c>
      <c r="J233" s="5">
        <f>IF(C233="West",1,0)</f>
        <v/>
      </c>
    </row>
    <row r="234">
      <c r="A234" s="6" t="inlineStr">
        <is>
          <t>STR-1061</t>
        </is>
      </c>
      <c r="B234" s="7" t="n">
        <v>45689</v>
      </c>
      <c r="C234" s="6" t="inlineStr">
        <is>
          <t>South</t>
        </is>
      </c>
      <c r="D234" s="6" t="inlineStr">
        <is>
          <t>Airport</t>
        </is>
      </c>
      <c r="E234" s="8">
        <f>IF(D234="High Street",1,0)</f>
        <v/>
      </c>
      <c r="F234" s="8">
        <f>IF(D234="Airport",1,0)</f>
        <v/>
      </c>
      <c r="G234" s="8">
        <f>IF(D234="Mall",1,0)</f>
        <v/>
      </c>
      <c r="H234" s="8">
        <f>IF(C234="North",1,0)</f>
        <v/>
      </c>
      <c r="I234" s="8">
        <f>IF(C234="South",1,0)</f>
        <v/>
      </c>
      <c r="J234" s="8">
        <f>IF(C234="West",1,0)</f>
        <v/>
      </c>
    </row>
    <row r="235">
      <c r="A235" s="2" t="inlineStr">
        <is>
          <t>STR-1061</t>
        </is>
      </c>
      <c r="B235" s="3" t="n">
        <v>45717</v>
      </c>
      <c r="C235" s="2" t="inlineStr">
        <is>
          <t>South</t>
        </is>
      </c>
      <c r="D235" s="2" t="inlineStr">
        <is>
          <t>Airport</t>
        </is>
      </c>
      <c r="E235" s="5">
        <f>IF(D235="High Street",1,0)</f>
        <v/>
      </c>
      <c r="F235" s="5">
        <f>IF(D235="Airport",1,0)</f>
        <v/>
      </c>
      <c r="G235" s="5">
        <f>IF(D235="Mall",1,0)</f>
        <v/>
      </c>
      <c r="H235" s="5">
        <f>IF(C235="North",1,0)</f>
        <v/>
      </c>
      <c r="I235" s="5">
        <f>IF(C235="South",1,0)</f>
        <v/>
      </c>
      <c r="J235" s="5">
        <f>IF(C235="West",1,0)</f>
        <v/>
      </c>
    </row>
    <row r="236">
      <c r="A236" s="6" t="inlineStr">
        <is>
          <t>STR-1061</t>
        </is>
      </c>
      <c r="B236" s="7" t="n">
        <v>45748</v>
      </c>
      <c r="C236" s="6" t="inlineStr">
        <is>
          <t>South</t>
        </is>
      </c>
      <c r="D236" s="6" t="inlineStr">
        <is>
          <t>Airport</t>
        </is>
      </c>
      <c r="E236" s="8">
        <f>IF(D236="High Street",1,0)</f>
        <v/>
      </c>
      <c r="F236" s="8">
        <f>IF(D236="Airport",1,0)</f>
        <v/>
      </c>
      <c r="G236" s="8">
        <f>IF(D236="Mall",1,0)</f>
        <v/>
      </c>
      <c r="H236" s="8">
        <f>IF(C236="North",1,0)</f>
        <v/>
      </c>
      <c r="I236" s="8">
        <f>IF(C236="South",1,0)</f>
        <v/>
      </c>
      <c r="J236" s="8">
        <f>IF(C236="West",1,0)</f>
        <v/>
      </c>
    </row>
    <row r="237">
      <c r="A237" s="2" t="inlineStr">
        <is>
          <t>STR-1062</t>
        </is>
      </c>
      <c r="B237" s="3" t="n">
        <v>45658</v>
      </c>
      <c r="C237" s="2" t="inlineStr">
        <is>
          <t>East</t>
        </is>
      </c>
      <c r="D237" s="2" t="inlineStr">
        <is>
          <t>High Street</t>
        </is>
      </c>
      <c r="E237" s="5">
        <f>IF(D237="High Street",1,0)</f>
        <v/>
      </c>
      <c r="F237" s="5">
        <f>IF(D237="Airport",1,0)</f>
        <v/>
      </c>
      <c r="G237" s="5">
        <f>IF(D237="Mall",1,0)</f>
        <v/>
      </c>
      <c r="H237" s="5">
        <f>IF(C237="North",1,0)</f>
        <v/>
      </c>
      <c r="I237" s="5">
        <f>IF(C237="South",1,0)</f>
        <v/>
      </c>
      <c r="J237" s="5">
        <f>IF(C237="West",1,0)</f>
        <v/>
      </c>
    </row>
    <row r="238">
      <c r="A238" s="6" t="inlineStr">
        <is>
          <t>STR-1062</t>
        </is>
      </c>
      <c r="B238" s="7" t="n">
        <v>45689</v>
      </c>
      <c r="C238" s="6" t="inlineStr">
        <is>
          <t>East</t>
        </is>
      </c>
      <c r="D238" s="6" t="inlineStr">
        <is>
          <t>High Street</t>
        </is>
      </c>
      <c r="E238" s="8">
        <f>IF(D238="High Street",1,0)</f>
        <v/>
      </c>
      <c r="F238" s="8">
        <f>IF(D238="Airport",1,0)</f>
        <v/>
      </c>
      <c r="G238" s="8">
        <f>IF(D238="Mall",1,0)</f>
        <v/>
      </c>
      <c r="H238" s="8">
        <f>IF(C238="North",1,0)</f>
        <v/>
      </c>
      <c r="I238" s="8">
        <f>IF(C238="South",1,0)</f>
        <v/>
      </c>
      <c r="J238" s="8">
        <f>IF(C238="West",1,0)</f>
        <v/>
      </c>
    </row>
    <row r="239">
      <c r="A239" s="2" t="inlineStr">
        <is>
          <t>STR-1062</t>
        </is>
      </c>
      <c r="B239" s="3" t="n">
        <v>45717</v>
      </c>
      <c r="C239" s="2" t="inlineStr">
        <is>
          <t>East</t>
        </is>
      </c>
      <c r="D239" s="2" t="inlineStr">
        <is>
          <t>High Street</t>
        </is>
      </c>
      <c r="E239" s="5">
        <f>IF(D239="High Street",1,0)</f>
        <v/>
      </c>
      <c r="F239" s="5">
        <f>IF(D239="Airport",1,0)</f>
        <v/>
      </c>
      <c r="G239" s="5">
        <f>IF(D239="Mall",1,0)</f>
        <v/>
      </c>
      <c r="H239" s="5">
        <f>IF(C239="North",1,0)</f>
        <v/>
      </c>
      <c r="I239" s="5">
        <f>IF(C239="South",1,0)</f>
        <v/>
      </c>
      <c r="J239" s="5">
        <f>IF(C239="West",1,0)</f>
        <v/>
      </c>
    </row>
    <row r="240">
      <c r="A240" s="6" t="inlineStr">
        <is>
          <t>STR-1062</t>
        </is>
      </c>
      <c r="B240" s="7" t="n">
        <v>45748</v>
      </c>
      <c r="C240" s="6" t="inlineStr">
        <is>
          <t>East</t>
        </is>
      </c>
      <c r="D240" s="6" t="inlineStr">
        <is>
          <t>High Street</t>
        </is>
      </c>
      <c r="E240" s="8">
        <f>IF(D240="High Street",1,0)</f>
        <v/>
      </c>
      <c r="F240" s="8">
        <f>IF(D240="Airport",1,0)</f>
        <v/>
      </c>
      <c r="G240" s="8">
        <f>IF(D240="Mall",1,0)</f>
        <v/>
      </c>
      <c r="H240" s="8">
        <f>IF(C240="North",1,0)</f>
        <v/>
      </c>
      <c r="I240" s="8">
        <f>IF(C240="South",1,0)</f>
        <v/>
      </c>
      <c r="J240" s="8">
        <f>IF(C240="West",1,0)</f>
        <v/>
      </c>
    </row>
    <row r="241">
      <c r="A241" s="2" t="inlineStr">
        <is>
          <t>STR-1063</t>
        </is>
      </c>
      <c r="B241" s="3" t="n">
        <v>45689</v>
      </c>
      <c r="C241" s="2" t="inlineStr">
        <is>
          <t>North</t>
        </is>
      </c>
      <c r="D241" s="2" t="inlineStr">
        <is>
          <t>High Street</t>
        </is>
      </c>
      <c r="E241" s="5">
        <f>IF(D241="High Street",1,0)</f>
        <v/>
      </c>
      <c r="F241" s="5">
        <f>IF(D241="Airport",1,0)</f>
        <v/>
      </c>
      <c r="G241" s="5">
        <f>IF(D241="Mall",1,0)</f>
        <v/>
      </c>
      <c r="H241" s="5">
        <f>IF(C241="North",1,0)</f>
        <v/>
      </c>
      <c r="I241" s="5">
        <f>IF(C241="South",1,0)</f>
        <v/>
      </c>
      <c r="J241" s="5">
        <f>IF(C241="West",1,0)</f>
        <v/>
      </c>
    </row>
    <row r="242">
      <c r="A242" s="6" t="inlineStr">
        <is>
          <t>STR-1063</t>
        </is>
      </c>
      <c r="B242" s="7" t="n">
        <v>45717</v>
      </c>
      <c r="C242" s="6" t="inlineStr">
        <is>
          <t>North</t>
        </is>
      </c>
      <c r="D242" s="6" t="inlineStr">
        <is>
          <t>High Street</t>
        </is>
      </c>
      <c r="E242" s="8">
        <f>IF(D242="High Street",1,0)</f>
        <v/>
      </c>
      <c r="F242" s="8">
        <f>IF(D242="Airport",1,0)</f>
        <v/>
      </c>
      <c r="G242" s="8">
        <f>IF(D242="Mall",1,0)</f>
        <v/>
      </c>
      <c r="H242" s="8">
        <f>IF(C242="North",1,0)</f>
        <v/>
      </c>
      <c r="I242" s="8">
        <f>IF(C242="South",1,0)</f>
        <v/>
      </c>
      <c r="J242" s="8">
        <f>IF(C242="West",1,0)</f>
        <v/>
      </c>
    </row>
    <row r="243">
      <c r="A243" s="2" t="inlineStr">
        <is>
          <t>STR-1063</t>
        </is>
      </c>
      <c r="B243" s="3" t="n">
        <v>45748</v>
      </c>
      <c r="C243" s="2" t="inlineStr">
        <is>
          <t>North</t>
        </is>
      </c>
      <c r="D243" s="2" t="inlineStr">
        <is>
          <t>High Street</t>
        </is>
      </c>
      <c r="E243" s="5">
        <f>IF(D243="High Street",1,0)</f>
        <v/>
      </c>
      <c r="F243" s="5">
        <f>IF(D243="Airport",1,0)</f>
        <v/>
      </c>
      <c r="G243" s="5">
        <f>IF(D243="Mall",1,0)</f>
        <v/>
      </c>
      <c r="H243" s="5">
        <f>IF(C243="North",1,0)</f>
        <v/>
      </c>
      <c r="I243" s="5">
        <f>IF(C243="South",1,0)</f>
        <v/>
      </c>
      <c r="J243" s="5">
        <f>IF(C243="West",1,0)</f>
        <v/>
      </c>
    </row>
    <row r="244">
      <c r="A244" s="6" t="inlineStr">
        <is>
          <t>STR-1064</t>
        </is>
      </c>
      <c r="B244" s="7" t="n">
        <v>45658</v>
      </c>
      <c r="C244" s="6" t="inlineStr">
        <is>
          <t>South</t>
        </is>
      </c>
      <c r="D244" s="6" t="inlineStr">
        <is>
          <t>Airport</t>
        </is>
      </c>
      <c r="E244" s="8">
        <f>IF(D244="High Street",1,0)</f>
        <v/>
      </c>
      <c r="F244" s="8">
        <f>IF(D244="Airport",1,0)</f>
        <v/>
      </c>
      <c r="G244" s="8">
        <f>IF(D244="Mall",1,0)</f>
        <v/>
      </c>
      <c r="H244" s="8">
        <f>IF(C244="North",1,0)</f>
        <v/>
      </c>
      <c r="I244" s="8">
        <f>IF(C244="South",1,0)</f>
        <v/>
      </c>
      <c r="J244" s="8">
        <f>IF(C244="West",1,0)</f>
        <v/>
      </c>
    </row>
    <row r="245">
      <c r="A245" s="2" t="inlineStr">
        <is>
          <t>STR-1064</t>
        </is>
      </c>
      <c r="B245" s="3" t="n">
        <v>45689</v>
      </c>
      <c r="C245" s="2" t="inlineStr">
        <is>
          <t>South</t>
        </is>
      </c>
      <c r="D245" s="2" t="inlineStr">
        <is>
          <t>Airport</t>
        </is>
      </c>
      <c r="E245" s="5">
        <f>IF(D245="High Street",1,0)</f>
        <v/>
      </c>
      <c r="F245" s="5">
        <f>IF(D245="Airport",1,0)</f>
        <v/>
      </c>
      <c r="G245" s="5">
        <f>IF(D245="Mall",1,0)</f>
        <v/>
      </c>
      <c r="H245" s="5">
        <f>IF(C245="North",1,0)</f>
        <v/>
      </c>
      <c r="I245" s="5">
        <f>IF(C245="South",1,0)</f>
        <v/>
      </c>
      <c r="J245" s="5">
        <f>IF(C245="West",1,0)</f>
        <v/>
      </c>
    </row>
    <row r="246">
      <c r="A246" s="6" t="inlineStr">
        <is>
          <t>STR-1064</t>
        </is>
      </c>
      <c r="B246" s="7" t="n">
        <v>45717</v>
      </c>
      <c r="C246" s="6" t="inlineStr">
        <is>
          <t>South</t>
        </is>
      </c>
      <c r="D246" s="6" t="inlineStr">
        <is>
          <t>Airport</t>
        </is>
      </c>
      <c r="E246" s="8">
        <f>IF(D246="High Street",1,0)</f>
        <v/>
      </c>
      <c r="F246" s="8">
        <f>IF(D246="Airport",1,0)</f>
        <v/>
      </c>
      <c r="G246" s="8">
        <f>IF(D246="Mall",1,0)</f>
        <v/>
      </c>
      <c r="H246" s="8">
        <f>IF(C246="North",1,0)</f>
        <v/>
      </c>
      <c r="I246" s="8">
        <f>IF(C246="South",1,0)</f>
        <v/>
      </c>
      <c r="J246" s="8">
        <f>IF(C246="West",1,0)</f>
        <v/>
      </c>
    </row>
    <row r="247">
      <c r="A247" s="2" t="inlineStr">
        <is>
          <t>STR-1064</t>
        </is>
      </c>
      <c r="B247" s="3" t="n">
        <v>45748</v>
      </c>
      <c r="C247" s="2" t="inlineStr">
        <is>
          <t>South</t>
        </is>
      </c>
      <c r="D247" s="2" t="inlineStr">
        <is>
          <t>Airport</t>
        </is>
      </c>
      <c r="E247" s="5">
        <f>IF(D247="High Street",1,0)</f>
        <v/>
      </c>
      <c r="F247" s="5">
        <f>IF(D247="Airport",1,0)</f>
        <v/>
      </c>
      <c r="G247" s="5">
        <f>IF(D247="Mall",1,0)</f>
        <v/>
      </c>
      <c r="H247" s="5">
        <f>IF(C247="North",1,0)</f>
        <v/>
      </c>
      <c r="I247" s="5">
        <f>IF(C247="South",1,0)</f>
        <v/>
      </c>
      <c r="J247" s="5">
        <f>IF(C247="West",1,0)</f>
        <v/>
      </c>
    </row>
    <row r="248">
      <c r="A248" s="6" t="inlineStr">
        <is>
          <t>STR-1065</t>
        </is>
      </c>
      <c r="B248" s="7" t="n">
        <v>45658</v>
      </c>
      <c r="C248" s="6" t="inlineStr">
        <is>
          <t>South</t>
        </is>
      </c>
      <c r="D248" s="6" t="inlineStr">
        <is>
          <t>Mall</t>
        </is>
      </c>
      <c r="E248" s="8">
        <f>IF(D248="High Street",1,0)</f>
        <v/>
      </c>
      <c r="F248" s="8">
        <f>IF(D248="Airport",1,0)</f>
        <v/>
      </c>
      <c r="G248" s="8">
        <f>IF(D248="Mall",1,0)</f>
        <v/>
      </c>
      <c r="H248" s="8">
        <f>IF(C248="North",1,0)</f>
        <v/>
      </c>
      <c r="I248" s="8">
        <f>IF(C248="South",1,0)</f>
        <v/>
      </c>
      <c r="J248" s="8">
        <f>IF(C248="West",1,0)</f>
        <v/>
      </c>
    </row>
    <row r="249">
      <c r="A249" s="2" t="inlineStr">
        <is>
          <t>STR-1065</t>
        </is>
      </c>
      <c r="B249" s="3" t="n">
        <v>45689</v>
      </c>
      <c r="C249" s="2" t="inlineStr">
        <is>
          <t>South</t>
        </is>
      </c>
      <c r="D249" s="2" t="inlineStr">
        <is>
          <t>Mall</t>
        </is>
      </c>
      <c r="E249" s="5">
        <f>IF(D249="High Street",1,0)</f>
        <v/>
      </c>
      <c r="F249" s="5">
        <f>IF(D249="Airport",1,0)</f>
        <v/>
      </c>
      <c r="G249" s="5">
        <f>IF(D249="Mall",1,0)</f>
        <v/>
      </c>
      <c r="H249" s="5">
        <f>IF(C249="North",1,0)</f>
        <v/>
      </c>
      <c r="I249" s="5">
        <f>IF(C249="South",1,0)</f>
        <v/>
      </c>
      <c r="J249" s="5">
        <f>IF(C249="West",1,0)</f>
        <v/>
      </c>
    </row>
    <row r="250">
      <c r="A250" s="6" t="inlineStr">
        <is>
          <t>STR-1065</t>
        </is>
      </c>
      <c r="B250" s="7" t="n">
        <v>45717</v>
      </c>
      <c r="C250" s="6" t="inlineStr">
        <is>
          <t>South</t>
        </is>
      </c>
      <c r="D250" s="6" t="inlineStr">
        <is>
          <t>Mall</t>
        </is>
      </c>
      <c r="E250" s="8">
        <f>IF(D250="High Street",1,0)</f>
        <v/>
      </c>
      <c r="F250" s="8">
        <f>IF(D250="Airport",1,0)</f>
        <v/>
      </c>
      <c r="G250" s="8">
        <f>IF(D250="Mall",1,0)</f>
        <v/>
      </c>
      <c r="H250" s="8">
        <f>IF(C250="North",1,0)</f>
        <v/>
      </c>
      <c r="I250" s="8">
        <f>IF(C250="South",1,0)</f>
        <v/>
      </c>
      <c r="J250" s="8">
        <f>IF(C250="West",1,0)</f>
        <v/>
      </c>
    </row>
    <row r="251">
      <c r="A251" s="2" t="inlineStr">
        <is>
          <t>STR-1065</t>
        </is>
      </c>
      <c r="B251" s="3" t="n">
        <v>45748</v>
      </c>
      <c r="C251" s="2" t="inlineStr">
        <is>
          <t>South</t>
        </is>
      </c>
      <c r="D251" s="2" t="inlineStr">
        <is>
          <t>Mall</t>
        </is>
      </c>
      <c r="E251" s="5">
        <f>IF(D251="High Street",1,0)</f>
        <v/>
      </c>
      <c r="F251" s="5">
        <f>IF(D251="Airport",1,0)</f>
        <v/>
      </c>
      <c r="G251" s="5">
        <f>IF(D251="Mall",1,0)</f>
        <v/>
      </c>
      <c r="H251" s="5">
        <f>IF(C251="North",1,0)</f>
        <v/>
      </c>
      <c r="I251" s="5">
        <f>IF(C251="South",1,0)</f>
        <v/>
      </c>
      <c r="J251" s="5">
        <f>IF(C251="West",1,0)</f>
        <v/>
      </c>
    </row>
    <row r="252">
      <c r="A252" s="6" t="inlineStr">
        <is>
          <t>STR-1066</t>
        </is>
      </c>
      <c r="B252" s="7" t="n">
        <v>45658</v>
      </c>
      <c r="C252" s="6" t="inlineStr">
        <is>
          <t>West</t>
        </is>
      </c>
      <c r="D252" s="6" t="inlineStr">
        <is>
          <t>High Street</t>
        </is>
      </c>
      <c r="E252" s="8">
        <f>IF(D252="High Street",1,0)</f>
        <v/>
      </c>
      <c r="F252" s="8">
        <f>IF(D252="Airport",1,0)</f>
        <v/>
      </c>
      <c r="G252" s="8">
        <f>IF(D252="Mall",1,0)</f>
        <v/>
      </c>
      <c r="H252" s="8">
        <f>IF(C252="North",1,0)</f>
        <v/>
      </c>
      <c r="I252" s="8">
        <f>IF(C252="South",1,0)</f>
        <v/>
      </c>
      <c r="J252" s="8">
        <f>IF(C252="West",1,0)</f>
        <v/>
      </c>
    </row>
    <row r="253">
      <c r="A253" s="2" t="inlineStr">
        <is>
          <t>STR-1066</t>
        </is>
      </c>
      <c r="B253" s="3" t="n">
        <v>45717</v>
      </c>
      <c r="C253" s="2" t="inlineStr">
        <is>
          <t>West</t>
        </is>
      </c>
      <c r="D253" s="2" t="inlineStr">
        <is>
          <t>High Street</t>
        </is>
      </c>
      <c r="E253" s="5">
        <f>IF(D253="High Street",1,0)</f>
        <v/>
      </c>
      <c r="F253" s="5">
        <f>IF(D253="Airport",1,0)</f>
        <v/>
      </c>
      <c r="G253" s="5">
        <f>IF(D253="Mall",1,0)</f>
        <v/>
      </c>
      <c r="H253" s="5">
        <f>IF(C253="North",1,0)</f>
        <v/>
      </c>
      <c r="I253" s="5">
        <f>IF(C253="South",1,0)</f>
        <v/>
      </c>
      <c r="J253" s="5">
        <f>IF(C253="West",1,0)</f>
        <v/>
      </c>
    </row>
    <row r="254">
      <c r="A254" s="6" t="inlineStr">
        <is>
          <t>STR-1066</t>
        </is>
      </c>
      <c r="B254" s="7" t="n">
        <v>45748</v>
      </c>
      <c r="C254" s="6" t="inlineStr">
        <is>
          <t>West</t>
        </is>
      </c>
      <c r="D254" s="6" t="inlineStr">
        <is>
          <t>High Street</t>
        </is>
      </c>
      <c r="E254" s="8">
        <f>IF(D254="High Street",1,0)</f>
        <v/>
      </c>
      <c r="F254" s="8">
        <f>IF(D254="Airport",1,0)</f>
        <v/>
      </c>
      <c r="G254" s="8">
        <f>IF(D254="Mall",1,0)</f>
        <v/>
      </c>
      <c r="H254" s="8">
        <f>IF(C254="North",1,0)</f>
        <v/>
      </c>
      <c r="I254" s="8">
        <f>IF(C254="South",1,0)</f>
        <v/>
      </c>
      <c r="J254" s="8">
        <f>IF(C254="West",1,0)</f>
        <v/>
      </c>
    </row>
    <row r="255">
      <c r="A255" s="2" t="inlineStr">
        <is>
          <t>STR-1067</t>
        </is>
      </c>
      <c r="B255" s="3" t="n">
        <v>45658</v>
      </c>
      <c r="C255" s="2" t="inlineStr">
        <is>
          <t>East</t>
        </is>
      </c>
      <c r="D255" s="2" t="inlineStr">
        <is>
          <t>High Street</t>
        </is>
      </c>
      <c r="E255" s="5">
        <f>IF(D255="High Street",1,0)</f>
        <v/>
      </c>
      <c r="F255" s="5">
        <f>IF(D255="Airport",1,0)</f>
        <v/>
      </c>
      <c r="G255" s="5">
        <f>IF(D255="Mall",1,0)</f>
        <v/>
      </c>
      <c r="H255" s="5">
        <f>IF(C255="North",1,0)</f>
        <v/>
      </c>
      <c r="I255" s="5">
        <f>IF(C255="South",1,0)</f>
        <v/>
      </c>
      <c r="J255" s="5">
        <f>IF(C255="West",1,0)</f>
        <v/>
      </c>
    </row>
    <row r="256">
      <c r="A256" s="6" t="inlineStr">
        <is>
          <t>STR-1067</t>
        </is>
      </c>
      <c r="B256" s="7" t="n">
        <v>45689</v>
      </c>
      <c r="C256" s="6" t="inlineStr">
        <is>
          <t>East</t>
        </is>
      </c>
      <c r="D256" s="6" t="inlineStr">
        <is>
          <t>High Street</t>
        </is>
      </c>
      <c r="E256" s="8">
        <f>IF(D256="High Street",1,0)</f>
        <v/>
      </c>
      <c r="F256" s="8">
        <f>IF(D256="Airport",1,0)</f>
        <v/>
      </c>
      <c r="G256" s="8">
        <f>IF(D256="Mall",1,0)</f>
        <v/>
      </c>
      <c r="H256" s="8">
        <f>IF(C256="North",1,0)</f>
        <v/>
      </c>
      <c r="I256" s="8">
        <f>IF(C256="South",1,0)</f>
        <v/>
      </c>
      <c r="J256" s="8">
        <f>IF(C256="West",1,0)</f>
        <v/>
      </c>
    </row>
    <row r="257">
      <c r="A257" s="2" t="inlineStr">
        <is>
          <t>STR-1067</t>
        </is>
      </c>
      <c r="B257" s="3" t="n">
        <v>45717</v>
      </c>
      <c r="C257" s="2" t="inlineStr">
        <is>
          <t>East</t>
        </is>
      </c>
      <c r="D257" s="2" t="inlineStr">
        <is>
          <t>High Street</t>
        </is>
      </c>
      <c r="E257" s="5">
        <f>IF(D257="High Street",1,0)</f>
        <v/>
      </c>
      <c r="F257" s="5">
        <f>IF(D257="Airport",1,0)</f>
        <v/>
      </c>
      <c r="G257" s="5">
        <f>IF(D257="Mall",1,0)</f>
        <v/>
      </c>
      <c r="H257" s="5">
        <f>IF(C257="North",1,0)</f>
        <v/>
      </c>
      <c r="I257" s="5">
        <f>IF(C257="South",1,0)</f>
        <v/>
      </c>
      <c r="J257" s="5">
        <f>IF(C257="West",1,0)</f>
        <v/>
      </c>
    </row>
    <row r="258">
      <c r="A258" s="6" t="inlineStr">
        <is>
          <t>STR-1067</t>
        </is>
      </c>
      <c r="B258" s="7" t="n">
        <v>45748</v>
      </c>
      <c r="C258" s="6" t="inlineStr">
        <is>
          <t>East</t>
        </is>
      </c>
      <c r="D258" s="6" t="inlineStr">
        <is>
          <t>High Street</t>
        </is>
      </c>
      <c r="E258" s="8">
        <f>IF(D258="High Street",1,0)</f>
        <v/>
      </c>
      <c r="F258" s="8">
        <f>IF(D258="Airport",1,0)</f>
        <v/>
      </c>
      <c r="G258" s="8">
        <f>IF(D258="Mall",1,0)</f>
        <v/>
      </c>
      <c r="H258" s="8">
        <f>IF(C258="North",1,0)</f>
        <v/>
      </c>
      <c r="I258" s="8">
        <f>IF(C258="South",1,0)</f>
        <v/>
      </c>
      <c r="J258" s="8">
        <f>IF(C258="West",1,0)</f>
        <v/>
      </c>
    </row>
    <row r="259">
      <c r="A259" s="2" t="inlineStr">
        <is>
          <t>STR-1068</t>
        </is>
      </c>
      <c r="B259" s="3" t="n">
        <v>45658</v>
      </c>
      <c r="C259" s="2" t="inlineStr">
        <is>
          <t>East</t>
        </is>
      </c>
      <c r="D259" s="2" t="inlineStr">
        <is>
          <t>Mall</t>
        </is>
      </c>
      <c r="E259" s="5">
        <f>IF(D259="High Street",1,0)</f>
        <v/>
      </c>
      <c r="F259" s="5">
        <f>IF(D259="Airport",1,0)</f>
        <v/>
      </c>
      <c r="G259" s="5">
        <f>IF(D259="Mall",1,0)</f>
        <v/>
      </c>
      <c r="H259" s="5">
        <f>IF(C259="North",1,0)</f>
        <v/>
      </c>
      <c r="I259" s="5">
        <f>IF(C259="South",1,0)</f>
        <v/>
      </c>
      <c r="J259" s="5">
        <f>IF(C259="West",1,0)</f>
        <v/>
      </c>
    </row>
    <row r="260">
      <c r="A260" s="6" t="inlineStr">
        <is>
          <t>STR-1068</t>
        </is>
      </c>
      <c r="B260" s="7" t="n">
        <v>45689</v>
      </c>
      <c r="C260" s="6" t="inlineStr">
        <is>
          <t>East</t>
        </is>
      </c>
      <c r="D260" s="6" t="inlineStr">
        <is>
          <t>Mall</t>
        </is>
      </c>
      <c r="E260" s="8">
        <f>IF(D260="High Street",1,0)</f>
        <v/>
      </c>
      <c r="F260" s="8">
        <f>IF(D260="Airport",1,0)</f>
        <v/>
      </c>
      <c r="G260" s="8">
        <f>IF(D260="Mall",1,0)</f>
        <v/>
      </c>
      <c r="H260" s="8">
        <f>IF(C260="North",1,0)</f>
        <v/>
      </c>
      <c r="I260" s="8">
        <f>IF(C260="South",1,0)</f>
        <v/>
      </c>
      <c r="J260" s="8">
        <f>IF(C260="West",1,0)</f>
        <v/>
      </c>
    </row>
    <row r="261">
      <c r="A261" s="2" t="inlineStr">
        <is>
          <t>STR-1068</t>
        </is>
      </c>
      <c r="B261" s="3" t="n">
        <v>45717</v>
      </c>
      <c r="C261" s="2" t="inlineStr">
        <is>
          <t>East</t>
        </is>
      </c>
      <c r="D261" s="2" t="inlineStr">
        <is>
          <t>Mall</t>
        </is>
      </c>
      <c r="E261" s="5">
        <f>IF(D261="High Street",1,0)</f>
        <v/>
      </c>
      <c r="F261" s="5">
        <f>IF(D261="Airport",1,0)</f>
        <v/>
      </c>
      <c r="G261" s="5">
        <f>IF(D261="Mall",1,0)</f>
        <v/>
      </c>
      <c r="H261" s="5">
        <f>IF(C261="North",1,0)</f>
        <v/>
      </c>
      <c r="I261" s="5">
        <f>IF(C261="South",1,0)</f>
        <v/>
      </c>
      <c r="J261" s="5">
        <f>IF(C261="West",1,0)</f>
        <v/>
      </c>
    </row>
    <row r="262">
      <c r="A262" s="6" t="inlineStr">
        <is>
          <t>STR-1068</t>
        </is>
      </c>
      <c r="B262" s="7" t="n">
        <v>45748</v>
      </c>
      <c r="C262" s="6" t="inlineStr">
        <is>
          <t>East</t>
        </is>
      </c>
      <c r="D262" s="6" t="inlineStr">
        <is>
          <t>Mall</t>
        </is>
      </c>
      <c r="E262" s="8">
        <f>IF(D262="High Street",1,0)</f>
        <v/>
      </c>
      <c r="F262" s="8">
        <f>IF(D262="Airport",1,0)</f>
        <v/>
      </c>
      <c r="G262" s="8">
        <f>IF(D262="Mall",1,0)</f>
        <v/>
      </c>
      <c r="H262" s="8">
        <f>IF(C262="North",1,0)</f>
        <v/>
      </c>
      <c r="I262" s="8">
        <f>IF(C262="South",1,0)</f>
        <v/>
      </c>
      <c r="J262" s="8">
        <f>IF(C262="West",1,0)</f>
        <v/>
      </c>
    </row>
    <row r="263">
      <c r="A263" s="2" t="inlineStr">
        <is>
          <t>STR-1069</t>
        </is>
      </c>
      <c r="B263" s="3" t="n">
        <v>45658</v>
      </c>
      <c r="C263" s="2" t="inlineStr">
        <is>
          <t>West</t>
        </is>
      </c>
      <c r="D263" s="2" t="inlineStr">
        <is>
          <t>High Street</t>
        </is>
      </c>
      <c r="E263" s="5">
        <f>IF(D263="High Street",1,0)</f>
        <v/>
      </c>
      <c r="F263" s="5">
        <f>IF(D263="Airport",1,0)</f>
        <v/>
      </c>
      <c r="G263" s="5">
        <f>IF(D263="Mall",1,0)</f>
        <v/>
      </c>
      <c r="H263" s="5">
        <f>IF(C263="North",1,0)</f>
        <v/>
      </c>
      <c r="I263" s="5">
        <f>IF(C263="South",1,0)</f>
        <v/>
      </c>
      <c r="J263" s="5">
        <f>IF(C263="West",1,0)</f>
        <v/>
      </c>
    </row>
    <row r="264">
      <c r="A264" s="6" t="inlineStr">
        <is>
          <t>STR-1069</t>
        </is>
      </c>
      <c r="B264" s="7" t="n">
        <v>45689</v>
      </c>
      <c r="C264" s="6" t="inlineStr">
        <is>
          <t>West</t>
        </is>
      </c>
      <c r="D264" s="6" t="inlineStr">
        <is>
          <t>High Street</t>
        </is>
      </c>
      <c r="E264" s="8">
        <f>IF(D264="High Street",1,0)</f>
        <v/>
      </c>
      <c r="F264" s="8">
        <f>IF(D264="Airport",1,0)</f>
        <v/>
      </c>
      <c r="G264" s="8">
        <f>IF(D264="Mall",1,0)</f>
        <v/>
      </c>
      <c r="H264" s="8">
        <f>IF(C264="North",1,0)</f>
        <v/>
      </c>
      <c r="I264" s="8">
        <f>IF(C264="South",1,0)</f>
        <v/>
      </c>
      <c r="J264" s="8">
        <f>IF(C264="West",1,0)</f>
        <v/>
      </c>
    </row>
    <row r="265">
      <c r="A265" s="2" t="inlineStr">
        <is>
          <t>STR-1069</t>
        </is>
      </c>
      <c r="B265" s="3" t="n">
        <v>45717</v>
      </c>
      <c r="C265" s="2" t="inlineStr">
        <is>
          <t>West</t>
        </is>
      </c>
      <c r="D265" s="2" t="inlineStr">
        <is>
          <t>High Street</t>
        </is>
      </c>
      <c r="E265" s="5">
        <f>IF(D265="High Street",1,0)</f>
        <v/>
      </c>
      <c r="F265" s="5">
        <f>IF(D265="Airport",1,0)</f>
        <v/>
      </c>
      <c r="G265" s="5">
        <f>IF(D265="Mall",1,0)</f>
        <v/>
      </c>
      <c r="H265" s="5">
        <f>IF(C265="North",1,0)</f>
        <v/>
      </c>
      <c r="I265" s="5">
        <f>IF(C265="South",1,0)</f>
        <v/>
      </c>
      <c r="J265" s="5">
        <f>IF(C265="West",1,0)</f>
        <v/>
      </c>
    </row>
    <row r="266">
      <c r="A266" s="6" t="inlineStr">
        <is>
          <t>STR-1069</t>
        </is>
      </c>
      <c r="B266" s="7" t="n">
        <v>45748</v>
      </c>
      <c r="C266" s="6" t="inlineStr">
        <is>
          <t>West</t>
        </is>
      </c>
      <c r="D266" s="6" t="inlineStr">
        <is>
          <t>High Street</t>
        </is>
      </c>
      <c r="E266" s="8">
        <f>IF(D266="High Street",1,0)</f>
        <v/>
      </c>
      <c r="F266" s="8">
        <f>IF(D266="Airport",1,0)</f>
        <v/>
      </c>
      <c r="G266" s="8">
        <f>IF(D266="Mall",1,0)</f>
        <v/>
      </c>
      <c r="H266" s="8">
        <f>IF(C266="North",1,0)</f>
        <v/>
      </c>
      <c r="I266" s="8">
        <f>IF(C266="South",1,0)</f>
        <v/>
      </c>
      <c r="J266" s="8">
        <f>IF(C266="West",1,0)</f>
        <v/>
      </c>
    </row>
    <row r="267">
      <c r="A267" s="2" t="inlineStr">
        <is>
          <t>STR-1070</t>
        </is>
      </c>
      <c r="B267" s="3" t="n">
        <v>45658</v>
      </c>
      <c r="C267" s="2" t="inlineStr">
        <is>
          <t>South</t>
        </is>
      </c>
      <c r="D267" s="2" t="inlineStr">
        <is>
          <t>Residential</t>
        </is>
      </c>
      <c r="E267" s="5">
        <f>IF(D267="High Street",1,0)</f>
        <v/>
      </c>
      <c r="F267" s="5">
        <f>IF(D267="Airport",1,0)</f>
        <v/>
      </c>
      <c r="G267" s="5">
        <f>IF(D267="Mall",1,0)</f>
        <v/>
      </c>
      <c r="H267" s="5">
        <f>IF(C267="North",1,0)</f>
        <v/>
      </c>
      <c r="I267" s="5">
        <f>IF(C267="South",1,0)</f>
        <v/>
      </c>
      <c r="J267" s="5">
        <f>IF(C267="West",1,0)</f>
        <v/>
      </c>
    </row>
    <row r="268">
      <c r="A268" s="6" t="inlineStr">
        <is>
          <t>STR-1070</t>
        </is>
      </c>
      <c r="B268" s="7" t="n">
        <v>45689</v>
      </c>
      <c r="C268" s="6" t="inlineStr">
        <is>
          <t>South</t>
        </is>
      </c>
      <c r="D268" s="6" t="inlineStr">
        <is>
          <t>Residential</t>
        </is>
      </c>
      <c r="E268" s="8">
        <f>IF(D268="High Street",1,0)</f>
        <v/>
      </c>
      <c r="F268" s="8">
        <f>IF(D268="Airport",1,0)</f>
        <v/>
      </c>
      <c r="G268" s="8">
        <f>IF(D268="Mall",1,0)</f>
        <v/>
      </c>
      <c r="H268" s="8">
        <f>IF(C268="North",1,0)</f>
        <v/>
      </c>
      <c r="I268" s="8">
        <f>IF(C268="South",1,0)</f>
        <v/>
      </c>
      <c r="J268" s="8">
        <f>IF(C268="West",1,0)</f>
        <v/>
      </c>
    </row>
    <row r="269">
      <c r="A269" s="2" t="inlineStr">
        <is>
          <t>STR-1070</t>
        </is>
      </c>
      <c r="B269" s="3" t="n">
        <v>45717</v>
      </c>
      <c r="C269" s="2" t="inlineStr">
        <is>
          <t>South</t>
        </is>
      </c>
      <c r="D269" s="2" t="inlineStr">
        <is>
          <t>Residential</t>
        </is>
      </c>
      <c r="E269" s="5">
        <f>IF(D269="High Street",1,0)</f>
        <v/>
      </c>
      <c r="F269" s="5">
        <f>IF(D269="Airport",1,0)</f>
        <v/>
      </c>
      <c r="G269" s="5">
        <f>IF(D269="Mall",1,0)</f>
        <v/>
      </c>
      <c r="H269" s="5">
        <f>IF(C269="North",1,0)</f>
        <v/>
      </c>
      <c r="I269" s="5">
        <f>IF(C269="South",1,0)</f>
        <v/>
      </c>
      <c r="J269" s="5">
        <f>IF(C269="West",1,0)</f>
        <v/>
      </c>
    </row>
    <row r="270">
      <c r="A270" s="6" t="inlineStr">
        <is>
          <t>STR-1070</t>
        </is>
      </c>
      <c r="B270" s="7" t="n">
        <v>45748</v>
      </c>
      <c r="C270" s="6" t="inlineStr">
        <is>
          <t>South</t>
        </is>
      </c>
      <c r="D270" s="6" t="inlineStr">
        <is>
          <t>Residential</t>
        </is>
      </c>
      <c r="E270" s="8">
        <f>IF(D270="High Street",1,0)</f>
        <v/>
      </c>
      <c r="F270" s="8">
        <f>IF(D270="Airport",1,0)</f>
        <v/>
      </c>
      <c r="G270" s="8">
        <f>IF(D270="Mall",1,0)</f>
        <v/>
      </c>
      <c r="H270" s="8">
        <f>IF(C270="North",1,0)</f>
        <v/>
      </c>
      <c r="I270" s="8">
        <f>IF(C270="South",1,0)</f>
        <v/>
      </c>
      <c r="J270" s="8">
        <f>IF(C270="West",1,0)</f>
        <v/>
      </c>
    </row>
    <row r="271">
      <c r="A271" s="2" t="inlineStr">
        <is>
          <t>STR-1071</t>
        </is>
      </c>
      <c r="B271" s="3" t="n">
        <v>45658</v>
      </c>
      <c r="C271" s="2" t="inlineStr">
        <is>
          <t>South</t>
        </is>
      </c>
      <c r="D271" s="2" t="inlineStr">
        <is>
          <t>High Street</t>
        </is>
      </c>
      <c r="E271" s="5">
        <f>IF(D271="High Street",1,0)</f>
        <v/>
      </c>
      <c r="F271" s="5">
        <f>IF(D271="Airport",1,0)</f>
        <v/>
      </c>
      <c r="G271" s="5">
        <f>IF(D271="Mall",1,0)</f>
        <v/>
      </c>
      <c r="H271" s="5">
        <f>IF(C271="North",1,0)</f>
        <v/>
      </c>
      <c r="I271" s="5">
        <f>IF(C271="South",1,0)</f>
        <v/>
      </c>
      <c r="J271" s="5">
        <f>IF(C271="West",1,0)</f>
        <v/>
      </c>
    </row>
    <row r="272">
      <c r="A272" s="6" t="inlineStr">
        <is>
          <t>STR-1071</t>
        </is>
      </c>
      <c r="B272" s="7" t="n">
        <v>45689</v>
      </c>
      <c r="C272" s="6" t="inlineStr">
        <is>
          <t>South</t>
        </is>
      </c>
      <c r="D272" s="6" t="inlineStr">
        <is>
          <t>High Street</t>
        </is>
      </c>
      <c r="E272" s="8">
        <f>IF(D272="High Street",1,0)</f>
        <v/>
      </c>
      <c r="F272" s="8">
        <f>IF(D272="Airport",1,0)</f>
        <v/>
      </c>
      <c r="G272" s="8">
        <f>IF(D272="Mall",1,0)</f>
        <v/>
      </c>
      <c r="H272" s="8">
        <f>IF(C272="North",1,0)</f>
        <v/>
      </c>
      <c r="I272" s="8">
        <f>IF(C272="South",1,0)</f>
        <v/>
      </c>
      <c r="J272" s="8">
        <f>IF(C272="West",1,0)</f>
        <v/>
      </c>
    </row>
    <row r="273">
      <c r="A273" s="2" t="inlineStr">
        <is>
          <t>STR-1071</t>
        </is>
      </c>
      <c r="B273" s="3" t="n">
        <v>45717</v>
      </c>
      <c r="C273" s="2" t="inlineStr">
        <is>
          <t>South</t>
        </is>
      </c>
      <c r="D273" s="2" t="inlineStr">
        <is>
          <t>High Street</t>
        </is>
      </c>
      <c r="E273" s="5">
        <f>IF(D273="High Street",1,0)</f>
        <v/>
      </c>
      <c r="F273" s="5">
        <f>IF(D273="Airport",1,0)</f>
        <v/>
      </c>
      <c r="G273" s="5">
        <f>IF(D273="Mall",1,0)</f>
        <v/>
      </c>
      <c r="H273" s="5">
        <f>IF(C273="North",1,0)</f>
        <v/>
      </c>
      <c r="I273" s="5">
        <f>IF(C273="South",1,0)</f>
        <v/>
      </c>
      <c r="J273" s="5">
        <f>IF(C273="West",1,0)</f>
        <v/>
      </c>
    </row>
    <row r="274">
      <c r="A274" s="6" t="inlineStr">
        <is>
          <t>STR-1071</t>
        </is>
      </c>
      <c r="B274" s="7" t="n">
        <v>45748</v>
      </c>
      <c r="C274" s="6" t="inlineStr">
        <is>
          <t>South</t>
        </is>
      </c>
      <c r="D274" s="6" t="inlineStr">
        <is>
          <t>High Street</t>
        </is>
      </c>
      <c r="E274" s="8">
        <f>IF(D274="High Street",1,0)</f>
        <v/>
      </c>
      <c r="F274" s="8">
        <f>IF(D274="Airport",1,0)</f>
        <v/>
      </c>
      <c r="G274" s="8">
        <f>IF(D274="Mall",1,0)</f>
        <v/>
      </c>
      <c r="H274" s="8">
        <f>IF(C274="North",1,0)</f>
        <v/>
      </c>
      <c r="I274" s="8">
        <f>IF(C274="South",1,0)</f>
        <v/>
      </c>
      <c r="J274" s="8">
        <f>IF(C274="West",1,0)</f>
        <v/>
      </c>
    </row>
    <row r="275">
      <c r="A275" s="2" t="inlineStr">
        <is>
          <t>STR-1072</t>
        </is>
      </c>
      <c r="B275" s="3" t="n">
        <v>45658</v>
      </c>
      <c r="C275" s="2" t="inlineStr">
        <is>
          <t>West</t>
        </is>
      </c>
      <c r="D275" s="2" t="inlineStr">
        <is>
          <t>Residential</t>
        </is>
      </c>
      <c r="E275" s="5">
        <f>IF(D275="High Street",1,0)</f>
        <v/>
      </c>
      <c r="F275" s="5">
        <f>IF(D275="Airport",1,0)</f>
        <v/>
      </c>
      <c r="G275" s="5">
        <f>IF(D275="Mall",1,0)</f>
        <v/>
      </c>
      <c r="H275" s="5">
        <f>IF(C275="North",1,0)</f>
        <v/>
      </c>
      <c r="I275" s="5">
        <f>IF(C275="South",1,0)</f>
        <v/>
      </c>
      <c r="J275" s="5">
        <f>IF(C275="West",1,0)</f>
        <v/>
      </c>
    </row>
    <row r="276">
      <c r="A276" s="6" t="inlineStr">
        <is>
          <t>STR-1072</t>
        </is>
      </c>
      <c r="B276" s="7" t="n">
        <v>45689</v>
      </c>
      <c r="C276" s="6" t="inlineStr">
        <is>
          <t>West</t>
        </is>
      </c>
      <c r="D276" s="6" t="inlineStr">
        <is>
          <t>Residential</t>
        </is>
      </c>
      <c r="E276" s="8">
        <f>IF(D276="High Street",1,0)</f>
        <v/>
      </c>
      <c r="F276" s="8">
        <f>IF(D276="Airport",1,0)</f>
        <v/>
      </c>
      <c r="G276" s="8">
        <f>IF(D276="Mall",1,0)</f>
        <v/>
      </c>
      <c r="H276" s="8">
        <f>IF(C276="North",1,0)</f>
        <v/>
      </c>
      <c r="I276" s="8">
        <f>IF(C276="South",1,0)</f>
        <v/>
      </c>
      <c r="J276" s="8">
        <f>IF(C276="West",1,0)</f>
        <v/>
      </c>
    </row>
    <row r="277">
      <c r="A277" s="2" t="inlineStr">
        <is>
          <t>STR-1072</t>
        </is>
      </c>
      <c r="B277" s="3" t="n">
        <v>45717</v>
      </c>
      <c r="C277" s="2" t="inlineStr">
        <is>
          <t>West</t>
        </is>
      </c>
      <c r="D277" s="2" t="inlineStr">
        <is>
          <t>Residential</t>
        </is>
      </c>
      <c r="E277" s="5">
        <f>IF(D277="High Street",1,0)</f>
        <v/>
      </c>
      <c r="F277" s="5">
        <f>IF(D277="Airport",1,0)</f>
        <v/>
      </c>
      <c r="G277" s="5">
        <f>IF(D277="Mall",1,0)</f>
        <v/>
      </c>
      <c r="H277" s="5">
        <f>IF(C277="North",1,0)</f>
        <v/>
      </c>
      <c r="I277" s="5">
        <f>IF(C277="South",1,0)</f>
        <v/>
      </c>
      <c r="J277" s="5">
        <f>IF(C277="West",1,0)</f>
        <v/>
      </c>
    </row>
    <row r="278">
      <c r="A278" s="6" t="inlineStr">
        <is>
          <t>STR-1072</t>
        </is>
      </c>
      <c r="B278" s="7" t="n">
        <v>45748</v>
      </c>
      <c r="C278" s="6" t="inlineStr">
        <is>
          <t>West</t>
        </is>
      </c>
      <c r="D278" s="6" t="inlineStr">
        <is>
          <t>Residential</t>
        </is>
      </c>
      <c r="E278" s="8">
        <f>IF(D278="High Street",1,0)</f>
        <v/>
      </c>
      <c r="F278" s="8">
        <f>IF(D278="Airport",1,0)</f>
        <v/>
      </c>
      <c r="G278" s="8">
        <f>IF(D278="Mall",1,0)</f>
        <v/>
      </c>
      <c r="H278" s="8">
        <f>IF(C278="North",1,0)</f>
        <v/>
      </c>
      <c r="I278" s="8">
        <f>IF(C278="South",1,0)</f>
        <v/>
      </c>
      <c r="J278" s="8">
        <f>IF(C278="West",1,0)</f>
        <v/>
      </c>
    </row>
    <row r="279">
      <c r="A279" s="2" t="inlineStr">
        <is>
          <t>STR-1073</t>
        </is>
      </c>
      <c r="B279" s="3" t="n">
        <v>45658</v>
      </c>
      <c r="C279" s="2" t="inlineStr">
        <is>
          <t>East</t>
        </is>
      </c>
      <c r="D279" s="2" t="inlineStr">
        <is>
          <t>Residential</t>
        </is>
      </c>
      <c r="E279" s="5">
        <f>IF(D279="High Street",1,0)</f>
        <v/>
      </c>
      <c r="F279" s="5">
        <f>IF(D279="Airport",1,0)</f>
        <v/>
      </c>
      <c r="G279" s="5">
        <f>IF(D279="Mall",1,0)</f>
        <v/>
      </c>
      <c r="H279" s="5">
        <f>IF(C279="North",1,0)</f>
        <v/>
      </c>
      <c r="I279" s="5">
        <f>IF(C279="South",1,0)</f>
        <v/>
      </c>
      <c r="J279" s="5">
        <f>IF(C279="West",1,0)</f>
        <v/>
      </c>
    </row>
    <row r="280">
      <c r="A280" s="6" t="inlineStr">
        <is>
          <t>STR-1073</t>
        </is>
      </c>
      <c r="B280" s="7" t="n">
        <v>45689</v>
      </c>
      <c r="C280" s="6" t="inlineStr">
        <is>
          <t>East</t>
        </is>
      </c>
      <c r="D280" s="6" t="inlineStr">
        <is>
          <t>Residential</t>
        </is>
      </c>
      <c r="E280" s="8">
        <f>IF(D280="High Street",1,0)</f>
        <v/>
      </c>
      <c r="F280" s="8">
        <f>IF(D280="Airport",1,0)</f>
        <v/>
      </c>
      <c r="G280" s="8">
        <f>IF(D280="Mall",1,0)</f>
        <v/>
      </c>
      <c r="H280" s="8">
        <f>IF(C280="North",1,0)</f>
        <v/>
      </c>
      <c r="I280" s="8">
        <f>IF(C280="South",1,0)</f>
        <v/>
      </c>
      <c r="J280" s="8">
        <f>IF(C280="West",1,0)</f>
        <v/>
      </c>
    </row>
    <row r="281">
      <c r="A281" s="2" t="inlineStr">
        <is>
          <t>STR-1073</t>
        </is>
      </c>
      <c r="B281" s="3" t="n">
        <v>45717</v>
      </c>
      <c r="C281" s="2" t="inlineStr">
        <is>
          <t>East</t>
        </is>
      </c>
      <c r="D281" s="2" t="inlineStr">
        <is>
          <t>Residential</t>
        </is>
      </c>
      <c r="E281" s="5">
        <f>IF(D281="High Street",1,0)</f>
        <v/>
      </c>
      <c r="F281" s="5">
        <f>IF(D281="Airport",1,0)</f>
        <v/>
      </c>
      <c r="G281" s="5">
        <f>IF(D281="Mall",1,0)</f>
        <v/>
      </c>
      <c r="H281" s="5">
        <f>IF(C281="North",1,0)</f>
        <v/>
      </c>
      <c r="I281" s="5">
        <f>IF(C281="South",1,0)</f>
        <v/>
      </c>
      <c r="J281" s="5">
        <f>IF(C281="West",1,0)</f>
        <v/>
      </c>
    </row>
    <row r="282">
      <c r="A282" s="6" t="inlineStr">
        <is>
          <t>STR-1073</t>
        </is>
      </c>
      <c r="B282" s="7" t="n">
        <v>45748</v>
      </c>
      <c r="C282" s="6" t="inlineStr">
        <is>
          <t>East</t>
        </is>
      </c>
      <c r="D282" s="6" t="inlineStr">
        <is>
          <t>Residential</t>
        </is>
      </c>
      <c r="E282" s="8">
        <f>IF(D282="High Street",1,0)</f>
        <v/>
      </c>
      <c r="F282" s="8">
        <f>IF(D282="Airport",1,0)</f>
        <v/>
      </c>
      <c r="G282" s="8">
        <f>IF(D282="Mall",1,0)</f>
        <v/>
      </c>
      <c r="H282" s="8">
        <f>IF(C282="North",1,0)</f>
        <v/>
      </c>
      <c r="I282" s="8">
        <f>IF(C282="South",1,0)</f>
        <v/>
      </c>
      <c r="J282" s="8">
        <f>IF(C282="West",1,0)</f>
        <v/>
      </c>
    </row>
    <row r="283">
      <c r="A283" s="2" t="inlineStr">
        <is>
          <t>STR-1074</t>
        </is>
      </c>
      <c r="B283" s="3" t="n">
        <v>45658</v>
      </c>
      <c r="C283" s="2" t="inlineStr">
        <is>
          <t>West</t>
        </is>
      </c>
      <c r="D283" s="2" t="inlineStr">
        <is>
          <t>High Street</t>
        </is>
      </c>
      <c r="E283" s="5">
        <f>IF(D283="High Street",1,0)</f>
        <v/>
      </c>
      <c r="F283" s="5">
        <f>IF(D283="Airport",1,0)</f>
        <v/>
      </c>
      <c r="G283" s="5">
        <f>IF(D283="Mall",1,0)</f>
        <v/>
      </c>
      <c r="H283" s="5">
        <f>IF(C283="North",1,0)</f>
        <v/>
      </c>
      <c r="I283" s="5">
        <f>IF(C283="South",1,0)</f>
        <v/>
      </c>
      <c r="J283" s="5">
        <f>IF(C283="West",1,0)</f>
        <v/>
      </c>
    </row>
    <row r="284">
      <c r="A284" s="6" t="inlineStr">
        <is>
          <t>STR-1074</t>
        </is>
      </c>
      <c r="B284" s="7" t="n">
        <v>45689</v>
      </c>
      <c r="C284" s="6" t="inlineStr">
        <is>
          <t>West</t>
        </is>
      </c>
      <c r="D284" s="6" t="inlineStr">
        <is>
          <t>High Street</t>
        </is>
      </c>
      <c r="E284" s="8">
        <f>IF(D284="High Street",1,0)</f>
        <v/>
      </c>
      <c r="F284" s="8">
        <f>IF(D284="Airport",1,0)</f>
        <v/>
      </c>
      <c r="G284" s="8">
        <f>IF(D284="Mall",1,0)</f>
        <v/>
      </c>
      <c r="H284" s="8">
        <f>IF(C284="North",1,0)</f>
        <v/>
      </c>
      <c r="I284" s="8">
        <f>IF(C284="South",1,0)</f>
        <v/>
      </c>
      <c r="J284" s="8">
        <f>IF(C284="West",1,0)</f>
        <v/>
      </c>
    </row>
    <row r="285">
      <c r="A285" s="2" t="inlineStr">
        <is>
          <t>STR-1074</t>
        </is>
      </c>
      <c r="B285" s="3" t="n">
        <v>45717</v>
      </c>
      <c r="C285" s="2" t="inlineStr">
        <is>
          <t>West</t>
        </is>
      </c>
      <c r="D285" s="2" t="inlineStr">
        <is>
          <t>High Street</t>
        </is>
      </c>
      <c r="E285" s="5">
        <f>IF(D285="High Street",1,0)</f>
        <v/>
      </c>
      <c r="F285" s="5">
        <f>IF(D285="Airport",1,0)</f>
        <v/>
      </c>
      <c r="G285" s="5">
        <f>IF(D285="Mall",1,0)</f>
        <v/>
      </c>
      <c r="H285" s="5">
        <f>IF(C285="North",1,0)</f>
        <v/>
      </c>
      <c r="I285" s="5">
        <f>IF(C285="South",1,0)</f>
        <v/>
      </c>
      <c r="J285" s="5">
        <f>IF(C285="West",1,0)</f>
        <v/>
      </c>
    </row>
    <row r="286">
      <c r="A286" s="6" t="inlineStr">
        <is>
          <t>STR-1074</t>
        </is>
      </c>
      <c r="B286" s="7" t="n">
        <v>45748</v>
      </c>
      <c r="C286" s="6" t="inlineStr">
        <is>
          <t>West</t>
        </is>
      </c>
      <c r="D286" s="6" t="inlineStr">
        <is>
          <t>High Street</t>
        </is>
      </c>
      <c r="E286" s="8">
        <f>IF(D286="High Street",1,0)</f>
        <v/>
      </c>
      <c r="F286" s="8">
        <f>IF(D286="Airport",1,0)</f>
        <v/>
      </c>
      <c r="G286" s="8">
        <f>IF(D286="Mall",1,0)</f>
        <v/>
      </c>
      <c r="H286" s="8">
        <f>IF(C286="North",1,0)</f>
        <v/>
      </c>
      <c r="I286" s="8">
        <f>IF(C286="South",1,0)</f>
        <v/>
      </c>
      <c r="J286" s="8">
        <f>IF(C286="West",1,0)</f>
        <v/>
      </c>
    </row>
    <row r="287">
      <c r="A287" s="2" t="inlineStr">
        <is>
          <t>STR-1075</t>
        </is>
      </c>
      <c r="B287" s="3" t="n">
        <v>45658</v>
      </c>
      <c r="C287" s="2" t="inlineStr">
        <is>
          <t>West</t>
        </is>
      </c>
      <c r="D287" s="2" t="inlineStr">
        <is>
          <t>High Street</t>
        </is>
      </c>
      <c r="E287" s="5">
        <f>IF(D287="High Street",1,0)</f>
        <v/>
      </c>
      <c r="F287" s="5">
        <f>IF(D287="Airport",1,0)</f>
        <v/>
      </c>
      <c r="G287" s="5">
        <f>IF(D287="Mall",1,0)</f>
        <v/>
      </c>
      <c r="H287" s="5">
        <f>IF(C287="North",1,0)</f>
        <v/>
      </c>
      <c r="I287" s="5">
        <f>IF(C287="South",1,0)</f>
        <v/>
      </c>
      <c r="J287" s="5">
        <f>IF(C287="West",1,0)</f>
        <v/>
      </c>
    </row>
    <row r="288">
      <c r="A288" s="6" t="inlineStr">
        <is>
          <t>STR-1075</t>
        </is>
      </c>
      <c r="B288" s="7" t="n">
        <v>45689</v>
      </c>
      <c r="C288" s="6" t="inlineStr">
        <is>
          <t>West</t>
        </is>
      </c>
      <c r="D288" s="6" t="inlineStr">
        <is>
          <t>High Street</t>
        </is>
      </c>
      <c r="E288" s="8">
        <f>IF(D288="High Street",1,0)</f>
        <v/>
      </c>
      <c r="F288" s="8">
        <f>IF(D288="Airport",1,0)</f>
        <v/>
      </c>
      <c r="G288" s="8">
        <f>IF(D288="Mall",1,0)</f>
        <v/>
      </c>
      <c r="H288" s="8">
        <f>IF(C288="North",1,0)</f>
        <v/>
      </c>
      <c r="I288" s="8">
        <f>IF(C288="South",1,0)</f>
        <v/>
      </c>
      <c r="J288" s="8">
        <f>IF(C288="West",1,0)</f>
        <v/>
      </c>
    </row>
    <row r="289">
      <c r="A289" s="2" t="inlineStr">
        <is>
          <t>STR-1075</t>
        </is>
      </c>
      <c r="B289" s="3" t="n">
        <v>45717</v>
      </c>
      <c r="C289" s="2" t="inlineStr">
        <is>
          <t>West</t>
        </is>
      </c>
      <c r="D289" s="2" t="inlineStr">
        <is>
          <t>High Street</t>
        </is>
      </c>
      <c r="E289" s="5">
        <f>IF(D289="High Street",1,0)</f>
        <v/>
      </c>
      <c r="F289" s="5">
        <f>IF(D289="Airport",1,0)</f>
        <v/>
      </c>
      <c r="G289" s="5">
        <f>IF(D289="Mall",1,0)</f>
        <v/>
      </c>
      <c r="H289" s="5">
        <f>IF(C289="North",1,0)</f>
        <v/>
      </c>
      <c r="I289" s="5">
        <f>IF(C289="South",1,0)</f>
        <v/>
      </c>
      <c r="J289" s="5">
        <f>IF(C289="West",1,0)</f>
        <v/>
      </c>
    </row>
    <row r="290">
      <c r="A290" s="6" t="inlineStr">
        <is>
          <t>STR-1075</t>
        </is>
      </c>
      <c r="B290" s="7" t="n">
        <v>45748</v>
      </c>
      <c r="C290" s="6" t="inlineStr">
        <is>
          <t>West</t>
        </is>
      </c>
      <c r="D290" s="6" t="inlineStr">
        <is>
          <t>High Street</t>
        </is>
      </c>
      <c r="E290" s="8">
        <f>IF(D290="High Street",1,0)</f>
        <v/>
      </c>
      <c r="F290" s="8">
        <f>IF(D290="Airport",1,0)</f>
        <v/>
      </c>
      <c r="G290" s="8">
        <f>IF(D290="Mall",1,0)</f>
        <v/>
      </c>
      <c r="H290" s="8">
        <f>IF(C290="North",1,0)</f>
        <v/>
      </c>
      <c r="I290" s="8">
        <f>IF(C290="South",1,0)</f>
        <v/>
      </c>
      <c r="J290" s="8">
        <f>IF(C290="West",1,0)</f>
        <v/>
      </c>
    </row>
    <row r="291">
      <c r="A291" s="2" t="inlineStr">
        <is>
          <t>STR-1076</t>
        </is>
      </c>
      <c r="B291" s="3" t="n">
        <v>45658</v>
      </c>
      <c r="C291" s="2" t="inlineStr">
        <is>
          <t>North</t>
        </is>
      </c>
      <c r="D291" s="2" t="inlineStr">
        <is>
          <t>Mall</t>
        </is>
      </c>
      <c r="E291" s="5">
        <f>IF(D291="High Street",1,0)</f>
        <v/>
      </c>
      <c r="F291" s="5">
        <f>IF(D291="Airport",1,0)</f>
        <v/>
      </c>
      <c r="G291" s="5">
        <f>IF(D291="Mall",1,0)</f>
        <v/>
      </c>
      <c r="H291" s="5">
        <f>IF(C291="North",1,0)</f>
        <v/>
      </c>
      <c r="I291" s="5">
        <f>IF(C291="South",1,0)</f>
        <v/>
      </c>
      <c r="J291" s="5">
        <f>IF(C291="West",1,0)</f>
        <v/>
      </c>
    </row>
    <row r="292">
      <c r="A292" s="6" t="inlineStr">
        <is>
          <t>STR-1076</t>
        </is>
      </c>
      <c r="B292" s="7" t="n">
        <v>45689</v>
      </c>
      <c r="C292" s="6" t="inlineStr">
        <is>
          <t>North</t>
        </is>
      </c>
      <c r="D292" s="6" t="inlineStr">
        <is>
          <t>Mall</t>
        </is>
      </c>
      <c r="E292" s="8">
        <f>IF(D292="High Street",1,0)</f>
        <v/>
      </c>
      <c r="F292" s="8">
        <f>IF(D292="Airport",1,0)</f>
        <v/>
      </c>
      <c r="G292" s="8">
        <f>IF(D292="Mall",1,0)</f>
        <v/>
      </c>
      <c r="H292" s="8">
        <f>IF(C292="North",1,0)</f>
        <v/>
      </c>
      <c r="I292" s="8">
        <f>IF(C292="South",1,0)</f>
        <v/>
      </c>
      <c r="J292" s="8">
        <f>IF(C292="West",1,0)</f>
        <v/>
      </c>
    </row>
    <row r="293">
      <c r="A293" s="2" t="inlineStr">
        <is>
          <t>STR-1076</t>
        </is>
      </c>
      <c r="B293" s="3" t="n">
        <v>45717</v>
      </c>
      <c r="C293" s="2" t="inlineStr">
        <is>
          <t>North</t>
        </is>
      </c>
      <c r="D293" s="2" t="inlineStr">
        <is>
          <t>Mall</t>
        </is>
      </c>
      <c r="E293" s="5">
        <f>IF(D293="High Street",1,0)</f>
        <v/>
      </c>
      <c r="F293" s="5">
        <f>IF(D293="Airport",1,0)</f>
        <v/>
      </c>
      <c r="G293" s="5">
        <f>IF(D293="Mall",1,0)</f>
        <v/>
      </c>
      <c r="H293" s="5">
        <f>IF(C293="North",1,0)</f>
        <v/>
      </c>
      <c r="I293" s="5">
        <f>IF(C293="South",1,0)</f>
        <v/>
      </c>
      <c r="J293" s="5">
        <f>IF(C293="West",1,0)</f>
        <v/>
      </c>
    </row>
    <row r="294">
      <c r="A294" s="6" t="inlineStr">
        <is>
          <t>STR-1076</t>
        </is>
      </c>
      <c r="B294" s="7" t="n">
        <v>45748</v>
      </c>
      <c r="C294" s="6" t="inlineStr">
        <is>
          <t>North</t>
        </is>
      </c>
      <c r="D294" s="6" t="inlineStr">
        <is>
          <t>Mall</t>
        </is>
      </c>
      <c r="E294" s="8">
        <f>IF(D294="High Street",1,0)</f>
        <v/>
      </c>
      <c r="F294" s="8">
        <f>IF(D294="Airport",1,0)</f>
        <v/>
      </c>
      <c r="G294" s="8">
        <f>IF(D294="Mall",1,0)</f>
        <v/>
      </c>
      <c r="H294" s="8">
        <f>IF(C294="North",1,0)</f>
        <v/>
      </c>
      <c r="I294" s="8">
        <f>IF(C294="South",1,0)</f>
        <v/>
      </c>
      <c r="J294" s="8">
        <f>IF(C294="West",1,0)</f>
        <v/>
      </c>
    </row>
    <row r="295">
      <c r="A295" s="2" t="inlineStr">
        <is>
          <t>STR-1077</t>
        </is>
      </c>
      <c r="B295" s="3" t="n">
        <v>45658</v>
      </c>
      <c r="C295" s="2" t="inlineStr">
        <is>
          <t>South</t>
        </is>
      </c>
      <c r="D295" s="2" t="inlineStr">
        <is>
          <t>Residential</t>
        </is>
      </c>
      <c r="E295" s="5">
        <f>IF(D295="High Street",1,0)</f>
        <v/>
      </c>
      <c r="F295" s="5">
        <f>IF(D295="Airport",1,0)</f>
        <v/>
      </c>
      <c r="G295" s="5">
        <f>IF(D295="Mall",1,0)</f>
        <v/>
      </c>
      <c r="H295" s="5">
        <f>IF(C295="North",1,0)</f>
        <v/>
      </c>
      <c r="I295" s="5">
        <f>IF(C295="South",1,0)</f>
        <v/>
      </c>
      <c r="J295" s="5">
        <f>IF(C295="West",1,0)</f>
        <v/>
      </c>
    </row>
    <row r="296">
      <c r="A296" s="6" t="inlineStr">
        <is>
          <t>STR-1077</t>
        </is>
      </c>
      <c r="B296" s="7" t="n">
        <v>45689</v>
      </c>
      <c r="C296" s="6" t="inlineStr">
        <is>
          <t>South</t>
        </is>
      </c>
      <c r="D296" s="6" t="inlineStr">
        <is>
          <t>Residential</t>
        </is>
      </c>
      <c r="E296" s="8">
        <f>IF(D296="High Street",1,0)</f>
        <v/>
      </c>
      <c r="F296" s="8">
        <f>IF(D296="Airport",1,0)</f>
        <v/>
      </c>
      <c r="G296" s="8">
        <f>IF(D296="Mall",1,0)</f>
        <v/>
      </c>
      <c r="H296" s="8">
        <f>IF(C296="North",1,0)</f>
        <v/>
      </c>
      <c r="I296" s="8">
        <f>IF(C296="South",1,0)</f>
        <v/>
      </c>
      <c r="J296" s="8">
        <f>IF(C296="West",1,0)</f>
        <v/>
      </c>
    </row>
    <row r="297">
      <c r="A297" s="2" t="inlineStr">
        <is>
          <t>STR-1077</t>
        </is>
      </c>
      <c r="B297" s="3" t="n">
        <v>45717</v>
      </c>
      <c r="C297" s="2" t="inlineStr">
        <is>
          <t>South</t>
        </is>
      </c>
      <c r="D297" s="2" t="inlineStr">
        <is>
          <t>Residential</t>
        </is>
      </c>
      <c r="E297" s="5">
        <f>IF(D297="High Street",1,0)</f>
        <v/>
      </c>
      <c r="F297" s="5">
        <f>IF(D297="Airport",1,0)</f>
        <v/>
      </c>
      <c r="G297" s="5">
        <f>IF(D297="Mall",1,0)</f>
        <v/>
      </c>
      <c r="H297" s="5">
        <f>IF(C297="North",1,0)</f>
        <v/>
      </c>
      <c r="I297" s="5">
        <f>IF(C297="South",1,0)</f>
        <v/>
      </c>
      <c r="J297" s="5">
        <f>IF(C297="West",1,0)</f>
        <v/>
      </c>
    </row>
    <row r="298">
      <c r="A298" s="6" t="inlineStr">
        <is>
          <t>STR-1077</t>
        </is>
      </c>
      <c r="B298" s="7" t="n">
        <v>45748</v>
      </c>
      <c r="C298" s="6" t="inlineStr">
        <is>
          <t>South</t>
        </is>
      </c>
      <c r="D298" s="6" t="inlineStr">
        <is>
          <t>Residential</t>
        </is>
      </c>
      <c r="E298" s="8">
        <f>IF(D298="High Street",1,0)</f>
        <v/>
      </c>
      <c r="F298" s="8">
        <f>IF(D298="Airport",1,0)</f>
        <v/>
      </c>
      <c r="G298" s="8">
        <f>IF(D298="Mall",1,0)</f>
        <v/>
      </c>
      <c r="H298" s="8">
        <f>IF(C298="North",1,0)</f>
        <v/>
      </c>
      <c r="I298" s="8">
        <f>IF(C298="South",1,0)</f>
        <v/>
      </c>
      <c r="J298" s="8">
        <f>IF(C298="West",1,0)</f>
        <v/>
      </c>
    </row>
    <row r="299">
      <c r="A299" s="2" t="inlineStr">
        <is>
          <t>STR-1078</t>
        </is>
      </c>
      <c r="B299" s="3" t="n">
        <v>45658</v>
      </c>
      <c r="C299" s="2" t="inlineStr">
        <is>
          <t>South</t>
        </is>
      </c>
      <c r="D299" s="2" t="inlineStr">
        <is>
          <t>High Street</t>
        </is>
      </c>
      <c r="E299" s="5">
        <f>IF(D299="High Street",1,0)</f>
        <v/>
      </c>
      <c r="F299" s="5">
        <f>IF(D299="Airport",1,0)</f>
        <v/>
      </c>
      <c r="G299" s="5">
        <f>IF(D299="Mall",1,0)</f>
        <v/>
      </c>
      <c r="H299" s="5">
        <f>IF(C299="North",1,0)</f>
        <v/>
      </c>
      <c r="I299" s="5">
        <f>IF(C299="South",1,0)</f>
        <v/>
      </c>
      <c r="J299" s="5">
        <f>IF(C299="West",1,0)</f>
        <v/>
      </c>
    </row>
    <row r="300">
      <c r="A300" s="6" t="inlineStr">
        <is>
          <t>STR-1078</t>
        </is>
      </c>
      <c r="B300" s="7" t="n">
        <v>45689</v>
      </c>
      <c r="C300" s="6" t="inlineStr">
        <is>
          <t>South</t>
        </is>
      </c>
      <c r="D300" s="6" t="inlineStr">
        <is>
          <t>High Street</t>
        </is>
      </c>
      <c r="E300" s="8">
        <f>IF(D300="High Street",1,0)</f>
        <v/>
      </c>
      <c r="F300" s="8">
        <f>IF(D300="Airport",1,0)</f>
        <v/>
      </c>
      <c r="G300" s="8">
        <f>IF(D300="Mall",1,0)</f>
        <v/>
      </c>
      <c r="H300" s="8">
        <f>IF(C300="North",1,0)</f>
        <v/>
      </c>
      <c r="I300" s="8">
        <f>IF(C300="South",1,0)</f>
        <v/>
      </c>
      <c r="J300" s="8">
        <f>IF(C300="West",1,0)</f>
        <v/>
      </c>
    </row>
    <row r="301">
      <c r="A301" s="2" t="inlineStr">
        <is>
          <t>STR-1078</t>
        </is>
      </c>
      <c r="B301" s="3" t="n">
        <v>45717</v>
      </c>
      <c r="C301" s="2" t="inlineStr">
        <is>
          <t>South</t>
        </is>
      </c>
      <c r="D301" s="2" t="inlineStr">
        <is>
          <t>High Street</t>
        </is>
      </c>
      <c r="E301" s="5">
        <f>IF(D301="High Street",1,0)</f>
        <v/>
      </c>
      <c r="F301" s="5">
        <f>IF(D301="Airport",1,0)</f>
        <v/>
      </c>
      <c r="G301" s="5">
        <f>IF(D301="Mall",1,0)</f>
        <v/>
      </c>
      <c r="H301" s="5">
        <f>IF(C301="North",1,0)</f>
        <v/>
      </c>
      <c r="I301" s="5">
        <f>IF(C301="South",1,0)</f>
        <v/>
      </c>
      <c r="J301" s="5">
        <f>IF(C301="West",1,0)</f>
        <v/>
      </c>
    </row>
    <row r="302">
      <c r="A302" s="6" t="inlineStr">
        <is>
          <t>STR-1079</t>
        </is>
      </c>
      <c r="B302" s="7" t="n">
        <v>45658</v>
      </c>
      <c r="C302" s="6" t="inlineStr">
        <is>
          <t>North</t>
        </is>
      </c>
      <c r="D302" s="6" t="inlineStr">
        <is>
          <t>Residential</t>
        </is>
      </c>
      <c r="E302" s="8">
        <f>IF(D302="High Street",1,0)</f>
        <v/>
      </c>
      <c r="F302" s="8">
        <f>IF(D302="Airport",1,0)</f>
        <v/>
      </c>
      <c r="G302" s="8">
        <f>IF(D302="Mall",1,0)</f>
        <v/>
      </c>
      <c r="H302" s="8">
        <f>IF(C302="North",1,0)</f>
        <v/>
      </c>
      <c r="I302" s="8">
        <f>IF(C302="South",1,0)</f>
        <v/>
      </c>
      <c r="J302" s="8">
        <f>IF(C302="West",1,0)</f>
        <v/>
      </c>
    </row>
    <row r="303">
      <c r="A303" s="2" t="inlineStr">
        <is>
          <t>STR-1079</t>
        </is>
      </c>
      <c r="B303" s="3" t="n">
        <v>45717</v>
      </c>
      <c r="C303" s="2" t="inlineStr">
        <is>
          <t>North</t>
        </is>
      </c>
      <c r="D303" s="2" t="inlineStr">
        <is>
          <t>Residential</t>
        </is>
      </c>
      <c r="E303" s="5">
        <f>IF(D303="High Street",1,0)</f>
        <v/>
      </c>
      <c r="F303" s="5">
        <f>IF(D303="Airport",1,0)</f>
        <v/>
      </c>
      <c r="G303" s="5">
        <f>IF(D303="Mall",1,0)</f>
        <v/>
      </c>
      <c r="H303" s="5">
        <f>IF(C303="North",1,0)</f>
        <v/>
      </c>
      <c r="I303" s="5">
        <f>IF(C303="South",1,0)</f>
        <v/>
      </c>
      <c r="J303" s="5">
        <f>IF(C303="West",1,0)</f>
        <v/>
      </c>
    </row>
    <row r="304">
      <c r="A304" s="6" t="inlineStr">
        <is>
          <t>STR-1079</t>
        </is>
      </c>
      <c r="B304" s="7" t="n">
        <v>45748</v>
      </c>
      <c r="C304" s="6" t="inlineStr">
        <is>
          <t>North</t>
        </is>
      </c>
      <c r="D304" s="6" t="inlineStr">
        <is>
          <t>Residential</t>
        </is>
      </c>
      <c r="E304" s="8">
        <f>IF(D304="High Street",1,0)</f>
        <v/>
      </c>
      <c r="F304" s="8">
        <f>IF(D304="Airport",1,0)</f>
        <v/>
      </c>
      <c r="G304" s="8">
        <f>IF(D304="Mall",1,0)</f>
        <v/>
      </c>
      <c r="H304" s="8">
        <f>IF(C304="North",1,0)</f>
        <v/>
      </c>
      <c r="I304" s="8">
        <f>IF(C304="South",1,0)</f>
        <v/>
      </c>
      <c r="J304" s="8">
        <f>IF(C304="West",1,0)</f>
        <v/>
      </c>
    </row>
    <row r="305">
      <c r="A305" s="2" t="inlineStr">
        <is>
          <t>STR-1080</t>
        </is>
      </c>
      <c r="B305" s="3" t="n">
        <v>45658</v>
      </c>
      <c r="C305" s="2" t="inlineStr">
        <is>
          <t>East</t>
        </is>
      </c>
      <c r="D305" s="2" t="inlineStr">
        <is>
          <t>Residential</t>
        </is>
      </c>
      <c r="E305" s="5">
        <f>IF(D305="High Street",1,0)</f>
        <v/>
      </c>
      <c r="F305" s="5">
        <f>IF(D305="Airport",1,0)</f>
        <v/>
      </c>
      <c r="G305" s="5">
        <f>IF(D305="Mall",1,0)</f>
        <v/>
      </c>
      <c r="H305" s="5">
        <f>IF(C305="North",1,0)</f>
        <v/>
      </c>
      <c r="I305" s="5">
        <f>IF(C305="South",1,0)</f>
        <v/>
      </c>
      <c r="J305" s="5">
        <f>IF(C305="West",1,0)</f>
        <v/>
      </c>
    </row>
    <row r="306">
      <c r="A306" s="6" t="inlineStr">
        <is>
          <t>STR-1080</t>
        </is>
      </c>
      <c r="B306" s="7" t="n">
        <v>45689</v>
      </c>
      <c r="C306" s="6" t="inlineStr">
        <is>
          <t>East</t>
        </is>
      </c>
      <c r="D306" s="6" t="inlineStr">
        <is>
          <t>Residential</t>
        </is>
      </c>
      <c r="E306" s="8">
        <f>IF(D306="High Street",1,0)</f>
        <v/>
      </c>
      <c r="F306" s="8">
        <f>IF(D306="Airport",1,0)</f>
        <v/>
      </c>
      <c r="G306" s="8">
        <f>IF(D306="Mall",1,0)</f>
        <v/>
      </c>
      <c r="H306" s="8">
        <f>IF(C306="North",1,0)</f>
        <v/>
      </c>
      <c r="I306" s="8">
        <f>IF(C306="South",1,0)</f>
        <v/>
      </c>
      <c r="J306" s="8">
        <f>IF(C306="West",1,0)</f>
        <v/>
      </c>
    </row>
    <row r="307">
      <c r="A307" s="2" t="inlineStr">
        <is>
          <t>STR-1080</t>
        </is>
      </c>
      <c r="B307" s="3" t="n">
        <v>45717</v>
      </c>
      <c r="C307" s="2" t="inlineStr">
        <is>
          <t>East</t>
        </is>
      </c>
      <c r="D307" s="2" t="inlineStr">
        <is>
          <t>Residential</t>
        </is>
      </c>
      <c r="E307" s="5">
        <f>IF(D307="High Street",1,0)</f>
        <v/>
      </c>
      <c r="F307" s="5">
        <f>IF(D307="Airport",1,0)</f>
        <v/>
      </c>
      <c r="G307" s="5">
        <f>IF(D307="Mall",1,0)</f>
        <v/>
      </c>
      <c r="H307" s="5">
        <f>IF(C307="North",1,0)</f>
        <v/>
      </c>
      <c r="I307" s="5">
        <f>IF(C307="South",1,0)</f>
        <v/>
      </c>
      <c r="J307" s="5">
        <f>IF(C307="West",1,0)</f>
        <v/>
      </c>
    </row>
    <row r="308">
      <c r="A308" s="6" t="inlineStr">
        <is>
          <t>STR-1080</t>
        </is>
      </c>
      <c r="B308" s="7" t="n">
        <v>45748</v>
      </c>
      <c r="C308" s="6" t="inlineStr">
        <is>
          <t>East</t>
        </is>
      </c>
      <c r="D308" s="6" t="inlineStr">
        <is>
          <t>Residential</t>
        </is>
      </c>
      <c r="E308" s="8">
        <f>IF(D308="High Street",1,0)</f>
        <v/>
      </c>
      <c r="F308" s="8">
        <f>IF(D308="Airport",1,0)</f>
        <v/>
      </c>
      <c r="G308" s="8">
        <f>IF(D308="Mall",1,0)</f>
        <v/>
      </c>
      <c r="H308" s="8">
        <f>IF(C308="North",1,0)</f>
        <v/>
      </c>
      <c r="I308" s="8">
        <f>IF(C308="South",1,0)</f>
        <v/>
      </c>
      <c r="J308" s="8">
        <f>IF(C308="West",1,0)</f>
        <v/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9" t="inlineStr">
        <is>
          <t>Model 1: Simple Linear Regression — footfall → monthly_sales</t>
        </is>
      </c>
    </row>
    <row r="2" ht="20" customHeight="1">
      <c r="A2" s="4" t="inlineStr">
        <is>
          <t>LINEST Array Output (select B3:C7, enter formula, press Ctrl+Shift+Enter)</t>
        </is>
      </c>
    </row>
    <row r="3" ht="28" customHeight="1">
      <c r="A3" s="1" t="inlineStr">
        <is>
          <t>Statistic</t>
        </is>
      </c>
      <c r="B3" s="1" t="inlineStr">
        <is>
          <t>footfall (X)</t>
        </is>
      </c>
      <c r="C3" s="1" t="inlineStr">
        <is>
          <t>Intercept</t>
        </is>
      </c>
      <c r="D3" s="1" t="inlineStr"/>
      <c r="E3" s="1" t="inlineStr"/>
    </row>
    <row r="4">
      <c r="A4" s="10" t="inlineStr">
        <is>
          <t>Coefficient (Row 1)</t>
        </is>
      </c>
      <c r="B4" s="11">
        <f>INDEX(LINEST(Cleaned_Data!$M$3:$M$308,Cleaned_Data!$F$3:$F$308,TRUE,TRUE),1,1)</f>
        <v/>
      </c>
      <c r="C4" s="11">
        <f>INDEX(LINEST(Cleaned_Data!$M$3:$M$308,Cleaned_Data!$F$3:$F$308,TRUE,TRUE),1,2)</f>
        <v/>
      </c>
    </row>
    <row r="5">
      <c r="A5" s="12" t="inlineStr">
        <is>
          <t>Standard Error (Row 2)</t>
        </is>
      </c>
      <c r="B5" s="13">
        <f>INDEX(LINEST(Cleaned_Data!$M$3:$M$308,Cleaned_Data!$F$3:$F$308,TRUE,TRUE),2,1)</f>
        <v/>
      </c>
      <c r="C5" s="13">
        <f>INDEX(LINEST(Cleaned_Data!$M$3:$M$308,Cleaned_Data!$F$3:$F$308,TRUE,TRUE),2,2)</f>
        <v/>
      </c>
    </row>
    <row r="6">
      <c r="A6" s="10" t="inlineStr">
        <is>
          <t>R² / SE of Y (Row 3)</t>
        </is>
      </c>
      <c r="B6" s="11">
        <f>INDEX(LINEST(Cleaned_Data!$M$3:$M$308,Cleaned_Data!$F$3:$F$308,TRUE,TRUE),3,1)</f>
        <v/>
      </c>
      <c r="C6" s="11">
        <f>INDEX(LINEST(Cleaned_Data!$M$3:$M$308,Cleaned_Data!$F$3:$F$308,TRUE,TRUE),3,2)</f>
        <v/>
      </c>
    </row>
    <row r="7">
      <c r="A7" s="12" t="inlineStr">
        <is>
          <t>F-statistic / df_resid (Row 4)</t>
        </is>
      </c>
      <c r="B7" s="13">
        <f>INDEX(LINEST(Cleaned_Data!$M$3:$M$308,Cleaned_Data!$F$3:$F$308,TRUE,TRUE),4,1)</f>
        <v/>
      </c>
      <c r="C7" s="13">
        <f>INDEX(LINEST(Cleaned_Data!$M$3:$M$308,Cleaned_Data!$F$3:$F$308,TRUE,TRUE),4,2)</f>
        <v/>
      </c>
    </row>
    <row r="8">
      <c r="A8" s="10" t="inlineStr">
        <is>
          <t>SS_reg / SS_resid (Row 5)</t>
        </is>
      </c>
      <c r="B8" s="11">
        <f>INDEX(LINEST(Cleaned_Data!$M$3:$M$308,Cleaned_Data!$F$3:$F$308,TRUE,TRUE),5,1)</f>
        <v/>
      </c>
      <c r="C8" s="11">
        <f>INDEX(LINEST(Cleaned_Data!$M$3:$M$308,Cleaned_Data!$F$3:$F$308,TRUE,TRUE),5,2)</f>
        <v/>
      </c>
    </row>
    <row r="10" ht="20" customHeight="1">
      <c r="A10" s="4" t="inlineStr">
        <is>
          <t>Regression Summary Table</t>
        </is>
      </c>
    </row>
    <row r="11" ht="28" customHeight="1">
      <c r="A11" s="1" t="inlineStr">
        <is>
          <t>Variable</t>
        </is>
      </c>
      <c r="B11" s="1" t="inlineStr">
        <is>
          <t>Coefficient</t>
        </is>
      </c>
      <c r="C11" s="1" t="inlineStr">
        <is>
          <t>Std Error</t>
        </is>
      </c>
      <c r="D11" s="1" t="inlineStr">
        <is>
          <t>t-Statistic</t>
        </is>
      </c>
      <c r="E11" s="1" t="inlineStr">
        <is>
          <t>P-value</t>
        </is>
      </c>
      <c r="F11" s="1" t="inlineStr">
        <is>
          <t>Significant?</t>
        </is>
      </c>
    </row>
    <row r="12">
      <c r="B12" s="13" t="inlineStr">
        <is>
          <t>Intercept</t>
        </is>
      </c>
      <c r="C12" s="13">
        <f>INDEX(LINEST(Cleaned_Data!$M$3:$M$308,Cleaned_Data!$F$3:$F$308,TRUE,TRUE),1,2)</f>
        <v/>
      </c>
      <c r="D12" s="13">
        <f>INDEX(LINEST(Cleaned_Data!$M$3:$M$308,Cleaned_Data!$F$3:$F$308,TRUE,TRUE),2,2)</f>
        <v/>
      </c>
      <c r="E12" s="13">
        <f>INDEX(LINEST(Cleaned_Data!$M$3:$M$308,Cleaned_Data!$F$3:$F$308,TRUE,TRUE),1,2)/INDEX(LINEST(Cleaned_Data!$M$3:$M$308,Cleaned_Data!$F$3:$F$308,TRUE,TRUE),2,2)</f>
        <v/>
      </c>
      <c r="F12" s="14">
        <f>2*(1-T.DIST(ABS(D12),306-2,TRUE))</f>
        <v/>
      </c>
      <c r="G12" s="13">
        <f>IF(E12&lt;0.05,"Yes ✓","No ✗")</f>
        <v/>
      </c>
    </row>
    <row r="13">
      <c r="B13" s="11" t="inlineStr">
        <is>
          <t>footfall</t>
        </is>
      </c>
      <c r="C13" s="11">
        <f>INDEX(LINEST(Cleaned_Data!$M$3:$M$308,Cleaned_Data!$F$3:$F$308,TRUE,TRUE),1,1)</f>
        <v/>
      </c>
      <c r="D13" s="11">
        <f>INDEX(LINEST(Cleaned_Data!$M$3:$M$308,Cleaned_Data!$F$3:$F$308,TRUE,TRUE),2,1)</f>
        <v/>
      </c>
      <c r="E13" s="11">
        <f>INDEX(LINEST(Cleaned_Data!$M$3:$M$308,Cleaned_Data!$F$3:$F$308,TRUE,TRUE),1,1)/INDEX(LINEST(Cleaned_Data!$M$3:$M$308,Cleaned_Data!$F$3:$F$308,TRUE,TRUE),2,1)</f>
        <v/>
      </c>
      <c r="F13" s="14">
        <f>2*(1-T.DIST(ABS(D13),306-2,TRUE))</f>
        <v/>
      </c>
      <c r="G13" s="11">
        <f>IF(E13&lt;0.05,"Yes ✓","No ✗")</f>
        <v/>
      </c>
    </row>
    <row r="15" ht="20" customHeight="1">
      <c r="A15" s="4" t="inlineStr">
        <is>
          <t>Model Statistics</t>
        </is>
      </c>
    </row>
    <row r="16">
      <c r="A16" s="10" t="inlineStr">
        <is>
          <t>R-squared (R²)</t>
        </is>
      </c>
      <c r="B16" s="15">
        <f>INDEX(LINEST(Cleaned_Data!$M$3:$M$308,Cleaned_Data!$F$3:$F$308,TRUE,TRUE),3,1)</f>
        <v/>
      </c>
    </row>
    <row r="17">
      <c r="A17" s="12" t="inlineStr">
        <is>
          <t>Observations (n)</t>
        </is>
      </c>
      <c r="B17" s="16">
        <f>COUNTA(Cleaned_Data!$M$3:$M$308)</f>
        <v/>
      </c>
    </row>
    <row r="18">
      <c r="A18" s="10" t="inlineStr">
        <is>
          <t>Degrees of Freedom</t>
        </is>
      </c>
      <c r="B18" s="17">
        <f>COUNTA(Cleaned_Data!$M$3:$M$308)-2</f>
        <v/>
      </c>
    </row>
    <row r="19">
      <c r="A19" s="12" t="inlineStr">
        <is>
          <t>F-statistic</t>
        </is>
      </c>
      <c r="B19" s="18">
        <f>INDEX(LINEST(Cleaned_Data!$M$3:$M$308,Cleaned_Data!$F$3:$F$308,TRUE,TRUE),4,1)</f>
        <v/>
      </c>
    </row>
    <row r="20">
      <c r="A20" s="10" t="inlineStr">
        <is>
          <t>F p-value</t>
        </is>
      </c>
      <c r="B20" s="15">
        <f>F.DIST.RT(B19,1,306-2)</f>
        <v/>
      </c>
    </row>
    <row r="21">
      <c r="A21" s="12" t="inlineStr">
        <is>
          <t>Regression Equation</t>
        </is>
      </c>
      <c r="B21" s="2">
        <f>"monthly_sales = "&amp;TEXT(INDEX(LINEST(Cleaned_Data!$M$3:$M$308,Cleaned_Data!$F$3:$F$308,TRUE,TRUE),1,2),"0.00")&amp;" + "&amp;TEXT(INDEX(LINEST(Cleaned_Data!$M$3:$M$308,Cleaned_Data!$F$3:$F$308,TRUE,TRUE),1,1),"0.0000")&amp;" × footfall"</f>
        <v/>
      </c>
    </row>
    <row r="23" ht="20" customHeight="1">
      <c r="A23" s="4" t="inlineStr">
        <is>
          <t>Business Interpretation</t>
        </is>
      </c>
    </row>
    <row r="24">
      <c r="A24" s="6" t="inlineStr">
        <is>
          <t>Each additional customer visit is associated with £35.64 in additional monthly sales.</t>
        </is>
      </c>
    </row>
    <row r="25">
      <c r="A25" s="2" t="inlineStr">
        <is>
          <t>Footfall alone explains 73.5% of variation in monthly_sales — the strongest single predictor.</t>
        </is>
      </c>
    </row>
    <row r="26">
      <c r="A26" s="6" t="inlineStr">
        <is>
          <t>P-value &lt; 0.001 confirms the relationship is highly statistically significant.</t>
        </is>
      </c>
    </row>
    <row r="27">
      <c r="A27" s="2" t="inlineStr">
        <is>
          <t>Business Action: Leadership should prioritise footfall-driving initiatives (events, loyalty, location).</t>
        </is>
      </c>
    </row>
  </sheetData>
  <mergeCells count="9">
    <mergeCell ref="A24:F24"/>
    <mergeCell ref="A10:F10"/>
    <mergeCell ref="A2:E2"/>
    <mergeCell ref="A1:F1"/>
    <mergeCell ref="A23:F23"/>
    <mergeCell ref="A27:F27"/>
    <mergeCell ref="A26:F26"/>
    <mergeCell ref="A15:F15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9" t="inlineStr">
        <is>
          <t>Model 2: Simple Linear Regression — marketing_spend → monthly_sales</t>
        </is>
      </c>
    </row>
    <row r="2" ht="20" customHeight="1">
      <c r="A2" s="4" t="inlineStr">
        <is>
          <t>LINEST Array Output — marketing_spend</t>
        </is>
      </c>
    </row>
    <row r="3" ht="28" customHeight="1">
      <c r="A3" s="1" t="inlineStr">
        <is>
          <t>Statistic</t>
        </is>
      </c>
      <c r="B3" s="1" t="inlineStr">
        <is>
          <t>marketing_spend (X)</t>
        </is>
      </c>
      <c r="C3" s="1" t="inlineStr">
        <is>
          <t>Intercept</t>
        </is>
      </c>
      <c r="D3" s="1" t="inlineStr"/>
      <c r="E3" s="1" t="inlineStr"/>
    </row>
    <row r="4">
      <c r="A4" s="10" t="inlineStr">
        <is>
          <t>Coefficient (Row 1)</t>
        </is>
      </c>
      <c r="B4" s="19">
        <f>INDEX(LINEST(Cleaned_Data!$M$3:$M$308,Cleaned_Data!$E$3:$E$308,TRUE,TRUE),1,1)</f>
        <v/>
      </c>
      <c r="C4" s="19">
        <f>INDEX(LINEST(Cleaned_Data!$M$3:$M$308,Cleaned_Data!$E$3:$E$308,TRUE,TRUE),1,2)</f>
        <v/>
      </c>
    </row>
    <row r="5">
      <c r="A5" s="12" t="inlineStr">
        <is>
          <t>Standard Error (Row 2)</t>
        </is>
      </c>
      <c r="B5" s="20">
        <f>INDEX(LINEST(Cleaned_Data!$M$3:$M$308,Cleaned_Data!$E$3:$E$308,TRUE,TRUE),2,1)</f>
        <v/>
      </c>
      <c r="C5" s="20">
        <f>INDEX(LINEST(Cleaned_Data!$M$3:$M$308,Cleaned_Data!$E$3:$E$308,TRUE,TRUE),2,2)</f>
        <v/>
      </c>
    </row>
    <row r="6">
      <c r="A6" s="10" t="inlineStr">
        <is>
          <t>R² / SE of Y (Row 3)</t>
        </is>
      </c>
      <c r="B6" s="19">
        <f>INDEX(LINEST(Cleaned_Data!$M$3:$M$308,Cleaned_Data!$E$3:$E$308,TRUE,TRUE),3,1)</f>
        <v/>
      </c>
      <c r="C6" s="19">
        <f>INDEX(LINEST(Cleaned_Data!$M$3:$M$308,Cleaned_Data!$E$3:$E$308,TRUE,TRUE),3,2)</f>
        <v/>
      </c>
    </row>
    <row r="7">
      <c r="A7" s="12" t="inlineStr">
        <is>
          <t>F-statistic / df_resid (Row 4)</t>
        </is>
      </c>
      <c r="B7" s="20">
        <f>INDEX(LINEST(Cleaned_Data!$M$3:$M$308,Cleaned_Data!$E$3:$E$308,TRUE,TRUE),4,1)</f>
        <v/>
      </c>
      <c r="C7" s="20">
        <f>INDEX(LINEST(Cleaned_Data!$M$3:$M$308,Cleaned_Data!$E$3:$E$308,TRUE,TRUE),4,2)</f>
        <v/>
      </c>
    </row>
    <row r="8">
      <c r="A8" s="10" t="inlineStr">
        <is>
          <t>SS_reg / SS_resid (Row 5)</t>
        </is>
      </c>
      <c r="B8" s="19">
        <f>INDEX(LINEST(Cleaned_Data!$M$3:$M$308,Cleaned_Data!$E$3:$E$308,TRUE,TRUE),5,1)</f>
        <v/>
      </c>
      <c r="C8" s="19">
        <f>INDEX(LINEST(Cleaned_Data!$M$3:$M$308,Cleaned_Data!$E$3:$E$308,TRUE,TRUE),5,2)</f>
        <v/>
      </c>
    </row>
    <row r="10" ht="20" customHeight="1">
      <c r="A10" s="4" t="inlineStr">
        <is>
          <t>Regression Summary Table</t>
        </is>
      </c>
    </row>
    <row r="11" ht="28" customHeight="1">
      <c r="A11" s="1" t="inlineStr">
        <is>
          <t>Variable</t>
        </is>
      </c>
      <c r="B11" s="1" t="inlineStr">
        <is>
          <t>Coefficient</t>
        </is>
      </c>
      <c r="C11" s="1" t="inlineStr">
        <is>
          <t>Std Error</t>
        </is>
      </c>
      <c r="D11" s="1" t="inlineStr">
        <is>
          <t>t-Statistic</t>
        </is>
      </c>
      <c r="E11" s="1" t="inlineStr">
        <is>
          <t>P-value</t>
        </is>
      </c>
      <c r="F11" s="1" t="inlineStr">
        <is>
          <t>Significant?</t>
        </is>
      </c>
    </row>
    <row r="12">
      <c r="A12" s="12" t="inlineStr">
        <is>
          <t>Intercept</t>
        </is>
      </c>
      <c r="B12" s="20">
        <f>INDEX(LINEST(Cleaned_Data!$M$3:$M$308,Cleaned_Data!$E$3:$E$308,TRUE,TRUE),1,2)</f>
        <v/>
      </c>
      <c r="C12" s="20">
        <f>INDEX(LINEST(Cleaned_Data!$M$3:$M$308,Cleaned_Data!$E$3:$E$308,TRUE,TRUE),2,2)</f>
        <v/>
      </c>
      <c r="D12" s="13">
        <f>B12/C12</f>
        <v/>
      </c>
      <c r="E12" s="13">
        <f>2*(1-T.DIST(ABS(D12),306-2,TRUE))</f>
        <v/>
      </c>
      <c r="F12" s="21">
        <f>IF(E12&lt;0.05,"Yes ✓","No ✗")</f>
        <v/>
      </c>
    </row>
    <row r="13">
      <c r="A13" s="10" t="inlineStr">
        <is>
          <t>marketing_spend</t>
        </is>
      </c>
      <c r="B13" s="19">
        <f>INDEX(LINEST(Cleaned_Data!$M$3:$M$308,Cleaned_Data!$E$3:$E$308,TRUE,TRUE),1,1)</f>
        <v/>
      </c>
      <c r="C13" s="19">
        <f>INDEX(LINEST(Cleaned_Data!$M$3:$M$308,Cleaned_Data!$E$3:$E$308,TRUE,TRUE),2,1)</f>
        <v/>
      </c>
      <c r="D13" s="11">
        <f>B13/C13</f>
        <v/>
      </c>
      <c r="E13" s="11">
        <f>2*(1-T.DIST(ABS(D13),306-2,TRUE))</f>
        <v/>
      </c>
      <c r="F13" s="21">
        <f>IF(E13&lt;0.05,"Yes ✓","No ✗")</f>
        <v/>
      </c>
    </row>
    <row r="15" ht="20" customHeight="1">
      <c r="A15" s="4" t="inlineStr">
        <is>
          <t>Model Statistics</t>
        </is>
      </c>
    </row>
    <row r="16">
      <c r="A16" s="10" t="inlineStr">
        <is>
          <t>R-squared (R²)</t>
        </is>
      </c>
      <c r="B16" s="15">
        <f>INDEX(LINEST(Cleaned_Data!$M$3:$M$308,Cleaned_Data!$E$3:$E$308,TRUE,TRUE),3,1)</f>
        <v/>
      </c>
    </row>
    <row r="17">
      <c r="A17" s="12" t="inlineStr">
        <is>
          <t>Observations (n)</t>
        </is>
      </c>
      <c r="B17" s="16">
        <f>COUNTA(Cleaned_Data!$M$3:$M$308)</f>
        <v/>
      </c>
    </row>
    <row r="18">
      <c r="A18" s="10" t="inlineStr">
        <is>
          <t>Degrees of Freedom</t>
        </is>
      </c>
      <c r="B18" s="17">
        <f>COUNTA(Cleaned_Data!$M$3:$M$308)-2</f>
        <v/>
      </c>
    </row>
    <row r="19">
      <c r="A19" s="12" t="inlineStr">
        <is>
          <t>F-statistic</t>
        </is>
      </c>
      <c r="B19" s="18">
        <f>INDEX(LINEST(Cleaned_Data!$M$3:$M$308,Cleaned_Data!$E$3:$E$308,TRUE,TRUE),4,1)</f>
        <v/>
      </c>
    </row>
    <row r="20">
      <c r="A20" s="10" t="inlineStr">
        <is>
          <t>F p-value</t>
        </is>
      </c>
      <c r="B20" s="15">
        <f>F.DIST.RT(B19,1,306-2)</f>
        <v/>
      </c>
    </row>
    <row r="21">
      <c r="A21" s="12" t="inlineStr">
        <is>
          <t>Regression Equation</t>
        </is>
      </c>
      <c r="B21" s="2">
        <f>"monthly_sales = "&amp;TEXT(INDEX(LINEST(Cleaned_Data!$M$3:$M$308,Cleaned_Data!$E$3:$E$308,TRUE,TRUE),1,2),"0.00")&amp;" + "&amp;TEXT(INDEX(LINEST(Cleaned_Data!$M$3:$M$308,Cleaned_Data!$E$3:$E$308,TRUE,TRUE),1,1),"0.000000")&amp;" × marketing_spend"</f>
        <v/>
      </c>
    </row>
    <row r="23" ht="20" customHeight="1">
      <c r="A23" s="4" t="inlineStr">
        <is>
          <t>Business Interpretation</t>
        </is>
      </c>
    </row>
    <row r="24">
      <c r="A24" s="6" t="inlineStr">
        <is>
          <t>Every £1 increase in marketing spend is associated with £2.05 more in monthly sales.</t>
        </is>
      </c>
    </row>
    <row r="25">
      <c r="A25" s="2" t="inlineStr">
        <is>
          <t>However, marketing alone explains only 15.7% of sales variance — it is NOT the primary driver.</t>
        </is>
      </c>
    </row>
    <row r="26">
      <c r="A26" s="6" t="inlineStr">
        <is>
          <t>P-value &lt; 0.001 confirms significance, but low R² limits standalone usefulness.</t>
        </is>
      </c>
    </row>
    <row r="27">
      <c r="A27" s="2" t="inlineStr">
        <is>
          <t>Caution: Some of this effect may reflect reverse causation (high-sales stores spend more on marketing).</t>
        </is>
      </c>
    </row>
  </sheetData>
  <mergeCells count="9">
    <mergeCell ref="A24:F24"/>
    <mergeCell ref="A10:F10"/>
    <mergeCell ref="A2:E2"/>
    <mergeCell ref="A1:F1"/>
    <mergeCell ref="A23:F23"/>
    <mergeCell ref="A27:F27"/>
    <mergeCell ref="A26:F26"/>
    <mergeCell ref="A15:F15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6" customWidth="1" min="8" max="8"/>
  </cols>
  <sheetData>
    <row r="1" ht="20" customHeight="1">
      <c r="A1" s="9" t="inlineStr">
        <is>
          <t>Model 3: Multiple Linear Regression (Final Model) — 9 Predictors → monthly_sales</t>
        </is>
      </c>
    </row>
    <row r="2" ht="20" customHeight="1">
      <c r="A2" s="4" t="inlineStr">
        <is>
          <t>Coefficient Table — t-statistics and p-values computed via Excel formulas</t>
        </is>
      </c>
    </row>
    <row r="3" ht="28" customHeight="1">
      <c r="A3" s="1" t="inlineStr">
        <is>
          <t>Variable</t>
        </is>
      </c>
      <c r="B3" s="1" t="inlineStr">
        <is>
          <t>Coefficient</t>
        </is>
      </c>
      <c r="C3" s="1" t="inlineStr">
        <is>
          <t>Std Error</t>
        </is>
      </c>
      <c r="D3" s="1" t="inlineStr">
        <is>
          <t>t-Statistic (=B/C)</t>
        </is>
      </c>
      <c r="E3" s="1" t="inlineStr">
        <is>
          <t>P-value (T.DIST)</t>
        </is>
      </c>
      <c r="F3" s="1" t="inlineStr">
        <is>
          <t>Sig at 5%?</t>
        </is>
      </c>
      <c r="G3" s="1" t="inlineStr">
        <is>
          <t>Direction</t>
        </is>
      </c>
      <c r="H3" s="1" t="inlineStr">
        <is>
          <t>Business Interpretation</t>
        </is>
      </c>
    </row>
    <row r="4">
      <c r="A4" s="12" t="inlineStr">
        <is>
          <t>Intercept</t>
        </is>
      </c>
      <c r="B4" s="22" t="n">
        <v>73762.6747</v>
      </c>
      <c r="C4" s="22" t="n">
        <v>50049.7729</v>
      </c>
      <c r="D4" s="13">
        <f>B4/C4</f>
        <v/>
      </c>
      <c r="E4" s="20">
        <f>2*(1-T.DIST(ABS(D4),306-10,TRUE))</f>
        <v/>
      </c>
      <c r="F4" s="23">
        <f>IF(E4&lt;0.001,"★★★ p&lt;0.001",IF(E4&lt;0.01,"★★ p&lt;0.01",IF(E4&lt;0.05,"★ p&lt;0.05",IF(E4&lt;0.1,"~ Marginal","✗ NS"))))</f>
        <v/>
      </c>
      <c r="G4" s="5" t="inlineStr">
        <is>
          <t>N/A</t>
        </is>
      </c>
      <c r="H4" s="2" t="inlineStr">
        <is>
          <t>Theoretical baseline — not meaningful alone</t>
        </is>
      </c>
    </row>
    <row r="5">
      <c r="A5" s="24" t="inlineStr">
        <is>
          <t>footfall</t>
        </is>
      </c>
      <c r="B5" s="25" t="n">
        <v>33.5066</v>
      </c>
      <c r="C5" s="25" t="n">
        <v>1.0672</v>
      </c>
      <c r="D5" s="26">
        <f>B5/C5</f>
        <v/>
      </c>
      <c r="E5" s="27">
        <f>2*(1-T.DIST(ABS(D5),306-10,TRUE))</f>
        <v/>
      </c>
      <c r="F5" s="28">
        <f>IF(E5&lt;0.001,"★★★ p&lt;0.001",IF(E5&lt;0.01,"★★ p&lt;0.01",IF(E5&lt;0.05,"★ p&lt;0.05",IF(E5&lt;0.1,"~ Marginal","✗ NS"))))</f>
        <v/>
      </c>
      <c r="G5" s="29" t="inlineStr">
        <is>
          <t>Positive</t>
        </is>
      </c>
      <c r="H5" s="30" t="inlineStr">
        <is>
          <t>Each +1 visitor → +£33.51 monthly sales</t>
        </is>
      </c>
    </row>
    <row r="6">
      <c r="A6" s="24" t="inlineStr">
        <is>
          <t>marketing_spend</t>
        </is>
      </c>
      <c r="B6" s="25" t="n">
        <v>1.174</v>
      </c>
      <c r="C6" s="25" t="n">
        <v>0.1305</v>
      </c>
      <c r="D6" s="26">
        <f>B6/C6</f>
        <v/>
      </c>
      <c r="E6" s="27">
        <f>2*(1-T.DIST(ABS(D6),306-10,TRUE))</f>
        <v/>
      </c>
      <c r="F6" s="28">
        <f>IF(E6&lt;0.001,"★★★ p&lt;0.001",IF(E6&lt;0.01,"★★ p&lt;0.01",IF(E6&lt;0.05,"★ p&lt;0.05",IF(E6&lt;0.1,"~ Marginal","✗ NS"))))</f>
        <v/>
      </c>
      <c r="G6" s="29" t="inlineStr">
        <is>
          <t>Positive</t>
        </is>
      </c>
      <c r="H6" s="30" t="inlineStr">
        <is>
          <t>Each +£1 marketing → +£1.17 monthly sales</t>
        </is>
      </c>
    </row>
    <row r="7">
      <c r="A7" s="24" t="inlineStr">
        <is>
          <t>inventory_availability_pct</t>
        </is>
      </c>
      <c r="B7" s="25" t="n">
        <v>2954.4359</v>
      </c>
      <c r="C7" s="25" t="n">
        <v>482.7623</v>
      </c>
      <c r="D7" s="26">
        <f>B7/C7</f>
        <v/>
      </c>
      <c r="E7" s="27">
        <f>2*(1-T.DIST(ABS(D7),306-10,TRUE))</f>
        <v/>
      </c>
      <c r="F7" s="28">
        <f>IF(E7&lt;0.001,"★★★ p&lt;0.001",IF(E7&lt;0.01,"★★ p&lt;0.01",IF(E7&lt;0.05,"★ p&lt;0.05",IF(E7&lt;0.1,"~ Marginal","✗ NS"))))</f>
        <v/>
      </c>
      <c r="G7" s="29" t="inlineStr">
        <is>
          <t>Positive</t>
        </is>
      </c>
      <c r="H7" s="30" t="inlineStr">
        <is>
          <t>Each +1pp stock → +£2,954 monthly sales</t>
        </is>
      </c>
    </row>
    <row r="8">
      <c r="A8" s="24" t="inlineStr">
        <is>
          <t>customer_rating</t>
        </is>
      </c>
      <c r="B8" s="25" t="n">
        <v>12808.6303</v>
      </c>
      <c r="C8" s="25" t="n">
        <v>4855.9138</v>
      </c>
      <c r="D8" s="26">
        <f>B8/C8</f>
        <v/>
      </c>
      <c r="E8" s="27">
        <f>2*(1-T.DIST(ABS(D8),306-10,TRUE))</f>
        <v/>
      </c>
      <c r="F8" s="28">
        <f>IF(E8&lt;0.001,"★★★ p&lt;0.001",IF(E8&lt;0.01,"★★ p&lt;0.01",IF(E8&lt;0.05,"★ p&lt;0.05",IF(E8&lt;0.1,"~ Marginal","✗ NS"))))</f>
        <v/>
      </c>
      <c r="G8" s="29" t="inlineStr">
        <is>
          <t>Positive</t>
        </is>
      </c>
      <c r="H8" s="30" t="inlineStr">
        <is>
          <t>Each +1 rating point → +£12,809 monthly sales</t>
        </is>
      </c>
    </row>
    <row r="9">
      <c r="A9" s="10" t="inlineStr">
        <is>
          <t>avg_discount_pct</t>
        </is>
      </c>
      <c r="B9" s="31" t="n">
        <v>-57469.0847</v>
      </c>
      <c r="C9" s="31" t="n">
        <v>37396.9423</v>
      </c>
      <c r="D9" s="11">
        <f>B9/C9</f>
        <v/>
      </c>
      <c r="E9" s="19">
        <f>2*(1-T.DIST(ABS(D9),306-10,TRUE))</f>
        <v/>
      </c>
      <c r="F9" s="23">
        <f>IF(E9&lt;0.001,"★★★ p&lt;0.001",IF(E9&lt;0.01,"★★ p&lt;0.01",IF(E9&lt;0.05,"★ p&lt;0.05",IF(E9&lt;0.1,"~ Marginal","✗ NS"))))</f>
        <v/>
      </c>
      <c r="G9" s="8" t="inlineStr">
        <is>
          <t>Negative</t>
        </is>
      </c>
      <c r="H9" s="6" t="inlineStr">
        <is>
          <t>Higher discount associated with lower sales (not significant)</t>
        </is>
      </c>
    </row>
    <row r="10">
      <c r="A10" s="32" t="inlineStr">
        <is>
          <t>holiday_flag</t>
        </is>
      </c>
      <c r="B10" s="33" t="n">
        <v>11148.5146</v>
      </c>
      <c r="C10" s="33" t="n">
        <v>6720.1885</v>
      </c>
      <c r="D10" s="34">
        <f>B10/C10</f>
        <v/>
      </c>
      <c r="E10" s="35">
        <f>2*(1-T.DIST(ABS(D10),306-10,TRUE))</f>
        <v/>
      </c>
      <c r="F10" s="36">
        <f>IF(E10&lt;0.001,"★★★ p&lt;0.001",IF(E10&lt;0.01,"★★ p&lt;0.01",IF(E10&lt;0.05,"★ p&lt;0.05",IF(E10&lt;0.1,"~ Marginal","✗ NS"))))</f>
        <v/>
      </c>
      <c r="G10" s="37" t="inlineStr">
        <is>
          <t>Positive</t>
        </is>
      </c>
      <c r="H10" s="38" t="inlineStr">
        <is>
          <t>Holiday months add ~£11,149 (marginal significance)</t>
        </is>
      </c>
    </row>
    <row r="11">
      <c r="A11" s="24" t="inlineStr">
        <is>
          <t>is_high_street</t>
        </is>
      </c>
      <c r="B11" s="25" t="n">
        <v>16295.0252</v>
      </c>
      <c r="C11" s="25" t="n">
        <v>6235.5923</v>
      </c>
      <c r="D11" s="26">
        <f>B11/C11</f>
        <v/>
      </c>
      <c r="E11" s="27">
        <f>2*(1-T.DIST(ABS(D11),306-10,TRUE))</f>
        <v/>
      </c>
      <c r="F11" s="28">
        <f>IF(E11&lt;0.001,"★★★ p&lt;0.001",IF(E11&lt;0.01,"★★ p&lt;0.01",IF(E11&lt;0.05,"★ p&lt;0.05",IF(E11&lt;0.1,"~ Marginal","✗ NS"))))</f>
        <v/>
      </c>
      <c r="G11" s="29" t="inlineStr">
        <is>
          <t>Positive</t>
        </is>
      </c>
      <c r="H11" s="30" t="inlineStr">
        <is>
          <t>High Street earns +£16,295 vs Residential (reference)</t>
        </is>
      </c>
    </row>
    <row r="12">
      <c r="A12" s="24" t="inlineStr">
        <is>
          <t>is_airport</t>
        </is>
      </c>
      <c r="B12" s="25" t="n">
        <v>38824.9628</v>
      </c>
      <c r="C12" s="25" t="n">
        <v>9562.450000000001</v>
      </c>
      <c r="D12" s="26">
        <f>B12/C12</f>
        <v/>
      </c>
      <c r="E12" s="27">
        <f>2*(1-T.DIST(ABS(D12),306-10,TRUE))</f>
        <v/>
      </c>
      <c r="F12" s="28">
        <f>IF(E12&lt;0.001,"★★★ p&lt;0.001",IF(E12&lt;0.01,"★★ p&lt;0.01",IF(E12&lt;0.05,"★ p&lt;0.05",IF(E12&lt;0.1,"~ Marginal","✗ NS"))))</f>
        <v/>
      </c>
      <c r="G12" s="29" t="inlineStr">
        <is>
          <t>Positive</t>
        </is>
      </c>
      <c r="H12" s="30" t="inlineStr">
        <is>
          <t>Airport earns +£38,825 vs Residential (reference)</t>
        </is>
      </c>
    </row>
    <row r="13">
      <c r="A13" s="24" t="inlineStr">
        <is>
          <t>is_mall</t>
        </is>
      </c>
      <c r="B13" s="25" t="n">
        <v>26401.9488</v>
      </c>
      <c r="C13" s="25" t="n">
        <v>6838.7691</v>
      </c>
      <c r="D13" s="26">
        <f>B13/C13</f>
        <v/>
      </c>
      <c r="E13" s="27">
        <f>2*(1-T.DIST(ABS(D13),306-10,TRUE))</f>
        <v/>
      </c>
      <c r="F13" s="28">
        <f>IF(E13&lt;0.001,"★★★ p&lt;0.001",IF(E13&lt;0.01,"★★ p&lt;0.01",IF(E13&lt;0.05,"★ p&lt;0.05",IF(E13&lt;0.1,"~ Marginal","✗ NS"))))</f>
        <v/>
      </c>
      <c r="G13" s="29" t="inlineStr">
        <is>
          <t>Positive</t>
        </is>
      </c>
      <c r="H13" s="30" t="inlineStr">
        <is>
          <t>Mall earns +£26,402 vs Residential (reference)</t>
        </is>
      </c>
    </row>
    <row r="15" ht="20" customHeight="1">
      <c r="A15" s="4" t="inlineStr">
        <is>
          <t>Model-Level Statistics</t>
        </is>
      </c>
    </row>
    <row r="16">
      <c r="A16" s="10" t="inlineStr">
        <is>
          <t>R-squared (R²)</t>
        </is>
      </c>
      <c r="B16" s="11" t="n">
        <v>0.8222</v>
      </c>
      <c r="C16" s="39" t="n"/>
      <c r="D16" s="40" t="inlineStr">
        <is>
          <t>Proportion of variance in monthly_sales explained by the model</t>
        </is>
      </c>
    </row>
    <row r="17">
      <c r="A17" s="12" t="inlineStr">
        <is>
          <t>Adjusted R²</t>
        </is>
      </c>
      <c r="B17" s="13" t="n">
        <v>0.8168</v>
      </c>
      <c r="D17" s="41" t="inlineStr">
        <is>
          <t>R² penalised for number of predictors</t>
        </is>
      </c>
    </row>
    <row r="18">
      <c r="A18" s="10" t="inlineStr">
        <is>
          <t>Observations (n)</t>
        </is>
      </c>
      <c r="B18" s="42" t="n">
        <v>306</v>
      </c>
      <c r="C18" s="39" t="n"/>
      <c r="D18" s="40" t="inlineStr">
        <is>
          <t>Clean rows after removing missing values</t>
        </is>
      </c>
    </row>
    <row r="19">
      <c r="A19" s="12" t="inlineStr">
        <is>
          <t>No. of Predictors (k)</t>
        </is>
      </c>
      <c r="B19" s="43" t="n">
        <v>9</v>
      </c>
      <c r="D19" s="41" t="inlineStr">
        <is>
          <t>Excluding intercept</t>
        </is>
      </c>
    </row>
    <row r="20">
      <c r="A20" s="10" t="inlineStr">
        <is>
          <t>Degrees of Freedom</t>
        </is>
      </c>
      <c r="B20" s="42" t="n">
        <v>296</v>
      </c>
      <c r="C20" s="39" t="n"/>
      <c r="D20" s="40" t="inlineStr">
        <is>
          <t>n − k − 1</t>
        </is>
      </c>
    </row>
    <row r="21">
      <c r="A21" s="12" t="inlineStr">
        <is>
          <t>SS Residual</t>
        </is>
      </c>
      <c r="B21" s="44" t="n">
        <v>574428689617.9</v>
      </c>
      <c r="D21" s="41" t="inlineStr">
        <is>
          <t>Sum of squared residuals (unexplained variance)</t>
        </is>
      </c>
    </row>
    <row r="22">
      <c r="A22" s="10" t="inlineStr">
        <is>
          <t>SS Total</t>
        </is>
      </c>
      <c r="B22" s="45" t="n">
        <v>3231269862817.39</v>
      </c>
      <c r="C22" s="39" t="n"/>
      <c r="D22" s="40" t="inlineStr">
        <is>
          <t>Total sum of squares</t>
        </is>
      </c>
    </row>
    <row r="23">
      <c r="A23" s="12" t="inlineStr">
        <is>
          <t>Variance Explained (%)</t>
        </is>
      </c>
      <c r="B23" s="46" t="inlineStr">
        <is>
          <t>82.22%</t>
        </is>
      </c>
      <c r="D23" s="41">
        <f>R²×100</f>
        <v/>
      </c>
    </row>
    <row r="25" ht="20" customHeight="1">
      <c r="A25" s="4" t="inlineStr">
        <is>
          <t>Colour Key</t>
        </is>
      </c>
    </row>
    <row r="26">
      <c r="A26" s="28" t="inlineStr">
        <is>
          <t>Green = Significant (p&lt;0.05)</t>
        </is>
      </c>
      <c r="C26" s="36" t="inlineStr">
        <is>
          <t>Yellow = Marginal (p&lt;0.10)</t>
        </is>
      </c>
      <c r="E26" s="47" t="inlineStr">
        <is>
          <t>Red/Plain = Not Significant (p≥0.10)</t>
        </is>
      </c>
    </row>
  </sheetData>
  <mergeCells count="15">
    <mergeCell ref="A25:J25"/>
    <mergeCell ref="A26:B26"/>
    <mergeCell ref="D21:H21"/>
    <mergeCell ref="D20:H20"/>
    <mergeCell ref="D16:H16"/>
    <mergeCell ref="A1:L1"/>
    <mergeCell ref="D19:H19"/>
    <mergeCell ref="A15:J15"/>
    <mergeCell ref="D23:H23"/>
    <mergeCell ref="E26:F26"/>
    <mergeCell ref="A2:J2"/>
    <mergeCell ref="D22:H22"/>
    <mergeCell ref="C26:D26"/>
    <mergeCell ref="D18:H18"/>
    <mergeCell ref="D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6" customWidth="1" min="4" max="4"/>
    <col width="12" customWidth="1" min="5" max="5"/>
    <col width="18" customWidth="1" min="6" max="6"/>
    <col width="26" customWidth="1" min="7" max="7"/>
    <col width="16" customWidth="1" min="8" max="8"/>
    <col width="18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0" customWidth="1" min="17" max="17"/>
    <col width="14" customWidth="1" min="18" max="18"/>
    <col width="28" customWidth="1" min="20" max="20"/>
    <col width="16" customWidth="1" min="21" max="21"/>
  </cols>
  <sheetData>
    <row r="1" ht="28" customHeight="1">
      <c r="A1" s="4" t="inlineStr">
        <is>
          <t>Coefficient Reference Block (used by prediction formula)</t>
        </is>
      </c>
      <c r="K1" s="1" t="inlineStr">
        <is>
          <t>Coefficient Name</t>
        </is>
      </c>
      <c r="L1" s="1" t="inlineStr">
        <is>
          <t>Value</t>
        </is>
      </c>
    </row>
    <row r="2" ht="28" customHeight="1">
      <c r="A2" s="1" t="inlineStr">
        <is>
          <t>store_id</t>
        </is>
      </c>
      <c r="B2" s="1" t="inlineStr">
        <is>
          <t>store_type</t>
        </is>
      </c>
      <c r="C2" s="1" t="inlineStr">
        <is>
          <t>region</t>
        </is>
      </c>
      <c r="D2" s="1" t="inlineStr">
        <is>
          <t>monthly_sales</t>
        </is>
      </c>
      <c r="E2" s="1" t="inlineStr">
        <is>
          <t>footfall</t>
        </is>
      </c>
      <c r="F2" s="1" t="inlineStr">
        <is>
          <t>marketing_spend</t>
        </is>
      </c>
      <c r="G2" s="1" t="inlineStr">
        <is>
          <t>inventory_availability_pct</t>
        </is>
      </c>
      <c r="H2" s="1" t="inlineStr">
        <is>
          <t>customer_rating</t>
        </is>
      </c>
      <c r="I2" s="1" t="inlineStr">
        <is>
          <t>avg_discount_pct</t>
        </is>
      </c>
      <c r="J2" s="1" t="inlineStr">
        <is>
          <t>holiday_flag</t>
        </is>
      </c>
      <c r="K2" s="1" t="inlineStr">
        <is>
          <t>is_high_street(IF)</t>
        </is>
      </c>
      <c r="L2" s="48" t="inlineStr">
        <is>
          <t>is_airport(IF)</t>
        </is>
      </c>
      <c r="M2" s="1" t="inlineStr">
        <is>
          <t>is_mall(IF)</t>
        </is>
      </c>
      <c r="N2" s="1" t="inlineStr">
        <is>
          <t>Predicted Sales</t>
        </is>
      </c>
      <c r="O2" s="1" t="inlineStr">
        <is>
          <t>Residual</t>
        </is>
      </c>
      <c r="P2" s="1" t="inlineStr">
        <is>
          <t>|Residual|</t>
        </is>
      </c>
      <c r="Q2" s="1" t="inlineStr">
        <is>
          <t>Rank</t>
        </is>
      </c>
      <c r="R2" s="1" t="inlineStr">
        <is>
          <t>Over/Under?</t>
        </is>
      </c>
      <c r="T2" s="1" t="inlineStr">
        <is>
          <t>Coeff Name</t>
        </is>
      </c>
      <c r="U2" s="1" t="inlineStr">
        <is>
          <t>Value</t>
        </is>
      </c>
    </row>
    <row r="3">
      <c r="A3" s="6" t="inlineStr">
        <is>
          <t>STR-1001</t>
        </is>
      </c>
      <c r="B3" s="6" t="inlineStr">
        <is>
          <t>Residential</t>
        </is>
      </c>
      <c r="C3" s="6" t="inlineStr">
        <is>
          <t>East</t>
        </is>
      </c>
      <c r="D3" s="45" t="n">
        <v>658832.62</v>
      </c>
      <c r="E3" s="8" t="n">
        <v>8302</v>
      </c>
      <c r="F3" s="8" t="n">
        <v>70389.11</v>
      </c>
      <c r="G3" s="8" t="n">
        <v>75</v>
      </c>
      <c r="H3" s="8" t="n">
        <v>3.1</v>
      </c>
      <c r="I3" s="8" t="n">
        <v>0.042</v>
      </c>
      <c r="J3" s="8" t="n">
        <v>1</v>
      </c>
      <c r="K3" s="8">
        <f>IF(B3="High Street",1,0)</f>
        <v/>
      </c>
      <c r="L3" s="19">
        <f>IF(B3="Airport",1,0)</f>
        <v/>
      </c>
      <c r="M3" s="8">
        <f>IF(B3="Mall",1,0)</f>
        <v/>
      </c>
      <c r="N3" s="45">
        <f>$U$3+$U$4*E3+$U$5*F3+$U$6*G3+$U$7*H3+$U$8*I3+$U$9*J3+$U$10*K3+$U$11*L3+$U$12*M3</f>
        <v/>
      </c>
      <c r="O3" s="45">
        <f>D3-N3</f>
        <v/>
      </c>
      <c r="P3" s="45">
        <f>ABS(O3)</f>
        <v/>
      </c>
      <c r="Q3" s="8">
        <f>RANK(P3,$P$3:$P$308,1)</f>
        <v/>
      </c>
      <c r="R3" s="8">
        <f>IF(O3&gt;0,"Over-predicted","Under-predicted")</f>
        <v/>
      </c>
      <c r="T3" s="10" t="inlineStr">
        <is>
          <t>Intercept</t>
        </is>
      </c>
      <c r="U3" s="19" t="n">
        <v>73762.67469299999</v>
      </c>
    </row>
    <row r="4">
      <c r="A4" s="2" t="inlineStr">
        <is>
          <t>STR-1001</t>
        </is>
      </c>
      <c r="B4" s="2" t="inlineStr">
        <is>
          <t>Residential</t>
        </is>
      </c>
      <c r="C4" s="2" t="inlineStr">
        <is>
          <t>East</t>
        </is>
      </c>
      <c r="D4" s="44" t="n">
        <v>634436</v>
      </c>
      <c r="E4" s="5" t="n">
        <v>8487</v>
      </c>
      <c r="F4" s="5" t="n">
        <v>43827.89</v>
      </c>
      <c r="G4" s="5" t="n">
        <v>84.40000000000001</v>
      </c>
      <c r="H4" s="5" t="n">
        <v>2.8</v>
      </c>
      <c r="I4" s="5" t="n">
        <v>0.168</v>
      </c>
      <c r="J4" s="5" t="n">
        <v>0</v>
      </c>
      <c r="K4" s="8">
        <f>IF(B4="High Street",1,0)</f>
        <v/>
      </c>
      <c r="L4" s="19">
        <f>IF(B4="Airport",1,0)</f>
        <v/>
      </c>
      <c r="M4" s="5">
        <f>IF(B4="Mall",1,0)</f>
        <v/>
      </c>
      <c r="N4" s="44">
        <f>$U$3+$U$4*E4+$U$5*F4+$U$6*G4+$U$7*H4+$U$8*I4+$U$9*J4+$U$10*K4+$U$11*L4+$U$12*M4</f>
        <v/>
      </c>
      <c r="O4" s="44">
        <f>D4-N4</f>
        <v/>
      </c>
      <c r="P4" s="44">
        <f>ABS(O4)</f>
        <v/>
      </c>
      <c r="Q4" s="5">
        <f>RANK(P4,$P$3:$P$308,1)</f>
        <v/>
      </c>
      <c r="R4" s="5">
        <f>IF(O4&gt;0,"Over-predicted","Under-predicted")</f>
        <v/>
      </c>
      <c r="T4" s="12" t="inlineStr">
        <is>
          <t>footfall</t>
        </is>
      </c>
      <c r="U4" s="20" t="n">
        <v>33.506639</v>
      </c>
    </row>
    <row r="5">
      <c r="A5" s="6" t="inlineStr">
        <is>
          <t>STR-1001</t>
        </is>
      </c>
      <c r="B5" s="6" t="inlineStr">
        <is>
          <t>Residential</t>
        </is>
      </c>
      <c r="C5" s="6" t="inlineStr">
        <is>
          <t>East</t>
        </is>
      </c>
      <c r="D5" s="45" t="n">
        <v>678722.0600000001</v>
      </c>
      <c r="E5" s="8" t="n">
        <v>9113</v>
      </c>
      <c r="F5" s="8" t="n">
        <v>59921.75</v>
      </c>
      <c r="G5" s="8" t="n">
        <v>88</v>
      </c>
      <c r="H5" s="8" t="n">
        <v>3.2</v>
      </c>
      <c r="I5" s="8" t="n">
        <v>0.133</v>
      </c>
      <c r="J5" s="8" t="n">
        <v>0</v>
      </c>
      <c r="K5" s="8">
        <f>IF(B5="High Street",1,0)</f>
        <v/>
      </c>
      <c r="L5" s="19">
        <f>IF(B5="Airport",1,0)</f>
        <v/>
      </c>
      <c r="M5" s="8">
        <f>IF(B5="Mall",1,0)</f>
        <v/>
      </c>
      <c r="N5" s="45">
        <f>$U$3+$U$4*E5+$U$5*F5+$U$6*G5+$U$7*H5+$U$8*I5+$U$9*J5+$U$10*K5+$U$11*L5+$U$12*M5</f>
        <v/>
      </c>
      <c r="O5" s="45">
        <f>D5-N5</f>
        <v/>
      </c>
      <c r="P5" s="45">
        <f>ABS(O5)</f>
        <v/>
      </c>
      <c r="Q5" s="8">
        <f>RANK(P5,$P$3:$P$308,1)</f>
        <v/>
      </c>
      <c r="R5" s="8">
        <f>IF(O5&gt;0,"Over-predicted","Under-predicted")</f>
        <v/>
      </c>
      <c r="T5" s="10" t="inlineStr">
        <is>
          <t>marketing_spend</t>
        </is>
      </c>
      <c r="U5" s="19" t="n">
        <v>1.174046</v>
      </c>
    </row>
    <row r="6">
      <c r="A6" s="2" t="inlineStr">
        <is>
          <t>STR-1001</t>
        </is>
      </c>
      <c r="B6" s="2" t="inlineStr">
        <is>
          <t>Residential</t>
        </is>
      </c>
      <c r="C6" s="2" t="inlineStr">
        <is>
          <t>East</t>
        </is>
      </c>
      <c r="D6" s="44" t="n">
        <v>658920.3</v>
      </c>
      <c r="E6" s="5" t="n">
        <v>9431</v>
      </c>
      <c r="F6" s="5" t="n">
        <v>56856.63</v>
      </c>
      <c r="G6" s="5" t="n">
        <v>86.90000000000001</v>
      </c>
      <c r="H6" s="5" t="n">
        <v>3.4</v>
      </c>
      <c r="I6" s="5" t="n">
        <v>0.142</v>
      </c>
      <c r="J6" s="5" t="n">
        <v>0</v>
      </c>
      <c r="K6" s="8">
        <f>IF(B6="High Street",1,0)</f>
        <v/>
      </c>
      <c r="L6" s="19">
        <f>IF(B6="Airport",1,0)</f>
        <v/>
      </c>
      <c r="M6" s="5">
        <f>IF(B6="Mall",1,0)</f>
        <v/>
      </c>
      <c r="N6" s="44">
        <f>$U$3+$U$4*E6+$U$5*F6+$U$6*G6+$U$7*H6+$U$8*I6+$U$9*J6+$U$10*K6+$U$11*L6+$U$12*M6</f>
        <v/>
      </c>
      <c r="O6" s="44">
        <f>D6-N6</f>
        <v/>
      </c>
      <c r="P6" s="44">
        <f>ABS(O6)</f>
        <v/>
      </c>
      <c r="Q6" s="5">
        <f>RANK(P6,$P$3:$P$308,1)</f>
        <v/>
      </c>
      <c r="R6" s="5">
        <f>IF(O6&gt;0,"Over-predicted","Under-predicted")</f>
        <v/>
      </c>
      <c r="T6" s="12" t="inlineStr">
        <is>
          <t>inventory_availability_pct</t>
        </is>
      </c>
      <c r="U6" s="20" t="n">
        <v>2954.435896</v>
      </c>
    </row>
    <row r="7">
      <c r="A7" s="6" t="inlineStr">
        <is>
          <t>STR-1002</t>
        </is>
      </c>
      <c r="B7" s="6" t="inlineStr">
        <is>
          <t>High Street</t>
        </is>
      </c>
      <c r="C7" s="6" t="inlineStr">
        <is>
          <t>East</t>
        </is>
      </c>
      <c r="D7" s="45" t="n">
        <v>741341.4399999999</v>
      </c>
      <c r="E7" s="8" t="n">
        <v>9545</v>
      </c>
      <c r="F7" s="8" t="n">
        <v>48412.64</v>
      </c>
      <c r="G7" s="8" t="n">
        <v>97.59999999999999</v>
      </c>
      <c r="H7" s="8" t="n">
        <v>4.2</v>
      </c>
      <c r="I7" s="8" t="n">
        <v>0.231</v>
      </c>
      <c r="J7" s="8" t="n">
        <v>1</v>
      </c>
      <c r="K7" s="8">
        <f>IF(B7="High Street",1,0)</f>
        <v/>
      </c>
      <c r="L7" s="19">
        <f>IF(B7="Airport",1,0)</f>
        <v/>
      </c>
      <c r="M7" s="8">
        <f>IF(B7="Mall",1,0)</f>
        <v/>
      </c>
      <c r="N7" s="45">
        <f>$U$3+$U$4*E7+$U$5*F7+$U$6*G7+$U$7*H7+$U$8*I7+$U$9*J7+$U$10*K7+$U$11*L7+$U$12*M7</f>
        <v/>
      </c>
      <c r="O7" s="45">
        <f>D7-N7</f>
        <v/>
      </c>
      <c r="P7" s="45">
        <f>ABS(O7)</f>
        <v/>
      </c>
      <c r="Q7" s="8">
        <f>RANK(P7,$P$3:$P$308,1)</f>
        <v/>
      </c>
      <c r="R7" s="8">
        <f>IF(O7&gt;0,"Over-predicted","Under-predicted")</f>
        <v/>
      </c>
      <c r="T7" s="10" t="inlineStr">
        <is>
          <t>customer_rating</t>
        </is>
      </c>
      <c r="U7" s="19" t="n">
        <v>12808.63032</v>
      </c>
    </row>
    <row r="8">
      <c r="A8" s="2" t="inlineStr">
        <is>
          <t>STR-1002</t>
        </is>
      </c>
      <c r="B8" s="2" t="inlineStr">
        <is>
          <t>High Street</t>
        </is>
      </c>
      <c r="C8" s="2" t="inlineStr">
        <is>
          <t>East</t>
        </is>
      </c>
      <c r="D8" s="44" t="n">
        <v>761835.34</v>
      </c>
      <c r="E8" s="5" t="n">
        <v>9792</v>
      </c>
      <c r="F8" s="5" t="n">
        <v>64811.21</v>
      </c>
      <c r="G8" s="5" t="n">
        <v>84.2</v>
      </c>
      <c r="H8" s="5" t="n">
        <v>4.2</v>
      </c>
      <c r="I8" s="5" t="n">
        <v>0.112</v>
      </c>
      <c r="J8" s="5" t="n">
        <v>0</v>
      </c>
      <c r="K8" s="8">
        <f>IF(B8="High Street",1,0)</f>
        <v/>
      </c>
      <c r="L8" s="19">
        <f>IF(B8="Airport",1,0)</f>
        <v/>
      </c>
      <c r="M8" s="5">
        <f>IF(B8="Mall",1,0)</f>
        <v/>
      </c>
      <c r="N8" s="44">
        <f>$U$3+$U$4*E8+$U$5*F8+$U$6*G8+$U$7*H8+$U$8*I8+$U$9*J8+$U$10*K8+$U$11*L8+$U$12*M8</f>
        <v/>
      </c>
      <c r="O8" s="44">
        <f>D8-N8</f>
        <v/>
      </c>
      <c r="P8" s="44">
        <f>ABS(O8)</f>
        <v/>
      </c>
      <c r="Q8" s="5">
        <f>RANK(P8,$P$3:$P$308,1)</f>
        <v/>
      </c>
      <c r="R8" s="5">
        <f>IF(O8&gt;0,"Over-predicted","Under-predicted")</f>
        <v/>
      </c>
      <c r="T8" s="12" t="inlineStr">
        <is>
          <t>avg_discount_pct</t>
        </is>
      </c>
      <c r="U8" s="20" t="n">
        <v>-57469.084665</v>
      </c>
    </row>
    <row r="9">
      <c r="A9" s="6" t="inlineStr">
        <is>
          <t>STR-1002</t>
        </is>
      </c>
      <c r="B9" s="6" t="inlineStr">
        <is>
          <t>High Street</t>
        </is>
      </c>
      <c r="C9" s="6" t="inlineStr">
        <is>
          <t>East</t>
        </is>
      </c>
      <c r="D9" s="45" t="n">
        <v>806615.54</v>
      </c>
      <c r="E9" s="8" t="n">
        <v>10616</v>
      </c>
      <c r="F9" s="8" t="n">
        <v>46213.45</v>
      </c>
      <c r="G9" s="8" t="n">
        <v>85.2</v>
      </c>
      <c r="H9" s="8" t="n">
        <v>4.1</v>
      </c>
      <c r="I9" s="8" t="n">
        <v>0.122</v>
      </c>
      <c r="J9" s="8" t="n">
        <v>1</v>
      </c>
      <c r="K9" s="8">
        <f>IF(B9="High Street",1,0)</f>
        <v/>
      </c>
      <c r="L9" s="19">
        <f>IF(B9="Airport",1,0)</f>
        <v/>
      </c>
      <c r="M9" s="8">
        <f>IF(B9="Mall",1,0)</f>
        <v/>
      </c>
      <c r="N9" s="45">
        <f>$U$3+$U$4*E9+$U$5*F9+$U$6*G9+$U$7*H9+$U$8*I9+$U$9*J9+$U$10*K9+$U$11*L9+$U$12*M9</f>
        <v/>
      </c>
      <c r="O9" s="45">
        <f>D9-N9</f>
        <v/>
      </c>
      <c r="P9" s="45">
        <f>ABS(O9)</f>
        <v/>
      </c>
      <c r="Q9" s="8">
        <f>RANK(P9,$P$3:$P$308,1)</f>
        <v/>
      </c>
      <c r="R9" s="8">
        <f>IF(O9&gt;0,"Over-predicted","Under-predicted")</f>
        <v/>
      </c>
      <c r="T9" s="10" t="inlineStr">
        <is>
          <t>holiday_flag</t>
        </is>
      </c>
      <c r="U9" s="19" t="n">
        <v>11148.514602</v>
      </c>
    </row>
    <row r="10">
      <c r="A10" s="2" t="inlineStr">
        <is>
          <t>STR-1002</t>
        </is>
      </c>
      <c r="B10" s="2" t="inlineStr">
        <is>
          <t>High Street</t>
        </is>
      </c>
      <c r="C10" s="2" t="inlineStr">
        <is>
          <t>East</t>
        </is>
      </c>
      <c r="D10" s="44" t="n">
        <v>850164.26</v>
      </c>
      <c r="E10" s="5" t="n">
        <v>8567</v>
      </c>
      <c r="F10" s="5" t="n">
        <v>68148.52</v>
      </c>
      <c r="G10" s="5" t="n">
        <v>95.59999999999999</v>
      </c>
      <c r="H10" s="5" t="n">
        <v>3.9</v>
      </c>
      <c r="I10" s="5" t="n">
        <v>0.127</v>
      </c>
      <c r="J10" s="5" t="n">
        <v>0</v>
      </c>
      <c r="K10" s="8">
        <f>IF(B10="High Street",1,0)</f>
        <v/>
      </c>
      <c r="L10" s="19">
        <f>IF(B10="Airport",1,0)</f>
        <v/>
      </c>
      <c r="M10" s="5">
        <f>IF(B10="Mall",1,0)</f>
        <v/>
      </c>
      <c r="N10" s="44">
        <f>$U$3+$U$4*E10+$U$5*F10+$U$6*G10+$U$7*H10+$U$8*I10+$U$9*J10+$U$10*K10+$U$11*L10+$U$12*M10</f>
        <v/>
      </c>
      <c r="O10" s="44">
        <f>D10-N10</f>
        <v/>
      </c>
      <c r="P10" s="44">
        <f>ABS(O10)</f>
        <v/>
      </c>
      <c r="Q10" s="5">
        <f>RANK(P10,$P$3:$P$308,1)</f>
        <v/>
      </c>
      <c r="R10" s="5">
        <f>IF(O10&gt;0,"Over-predicted","Under-predicted")</f>
        <v/>
      </c>
      <c r="T10" s="12" t="inlineStr">
        <is>
          <t>is_high_street</t>
        </is>
      </c>
      <c r="U10" s="20" t="n">
        <v>16295.025182</v>
      </c>
    </row>
    <row r="11">
      <c r="A11" s="6" t="inlineStr">
        <is>
          <t>STR-1003</t>
        </is>
      </c>
      <c r="B11" s="6" t="inlineStr">
        <is>
          <t>Airport</t>
        </is>
      </c>
      <c r="C11" s="6" t="inlineStr">
        <is>
          <t>North</t>
        </is>
      </c>
      <c r="D11" s="45" t="n">
        <v>930581.7</v>
      </c>
      <c r="E11" s="8" t="n">
        <v>10979</v>
      </c>
      <c r="F11" s="8" t="n">
        <v>71838.86</v>
      </c>
      <c r="G11" s="8" t="n">
        <v>88.59999999999999</v>
      </c>
      <c r="H11" s="8" t="n">
        <v>3.8</v>
      </c>
      <c r="I11" s="8" t="n">
        <v>0.215</v>
      </c>
      <c r="J11" s="8" t="n">
        <v>1</v>
      </c>
      <c r="K11" s="8">
        <f>IF(B11="High Street",1,0)</f>
        <v/>
      </c>
      <c r="L11" s="19">
        <f>IF(B11="Airport",1,0)</f>
        <v/>
      </c>
      <c r="M11" s="8">
        <f>IF(B11="Mall",1,0)</f>
        <v/>
      </c>
      <c r="N11" s="45">
        <f>$U$3+$U$4*E11+$U$5*F11+$U$6*G11+$U$7*H11+$U$8*I11+$U$9*J11+$U$10*K11+$U$11*L11+$U$12*M11</f>
        <v/>
      </c>
      <c r="O11" s="45">
        <f>D11-N11</f>
        <v/>
      </c>
      <c r="P11" s="45">
        <f>ABS(O11)</f>
        <v/>
      </c>
      <c r="Q11" s="8">
        <f>RANK(P11,$P$3:$P$308,1)</f>
        <v/>
      </c>
      <c r="R11" s="8">
        <f>IF(O11&gt;0,"Over-predicted","Under-predicted")</f>
        <v/>
      </c>
      <c r="T11" s="10" t="inlineStr">
        <is>
          <t>is_airport</t>
        </is>
      </c>
      <c r="U11" s="19" t="n">
        <v>38824.962788</v>
      </c>
    </row>
    <row r="12">
      <c r="A12" s="2" t="inlineStr">
        <is>
          <t>STR-1003</t>
        </is>
      </c>
      <c r="B12" s="2" t="inlineStr">
        <is>
          <t>Airport</t>
        </is>
      </c>
      <c r="C12" s="2" t="inlineStr">
        <is>
          <t>North</t>
        </is>
      </c>
      <c r="D12" s="44" t="n">
        <v>779010.9399999999</v>
      </c>
      <c r="E12" s="5" t="n">
        <v>9459</v>
      </c>
      <c r="F12" s="5" t="n">
        <v>68133.44</v>
      </c>
      <c r="G12" s="5" t="n">
        <v>85</v>
      </c>
      <c r="H12" s="5" t="n">
        <v>4.2</v>
      </c>
      <c r="I12" s="5" t="n">
        <v>0.22</v>
      </c>
      <c r="J12" s="5" t="n">
        <v>0</v>
      </c>
      <c r="K12" s="5">
        <f>IF(B12="High Street",1,0)</f>
        <v/>
      </c>
      <c r="L12" s="5">
        <f>IF(B12="Airport",1,0)</f>
        <v/>
      </c>
      <c r="M12" s="5">
        <f>IF(B12="Mall",1,0)</f>
        <v/>
      </c>
      <c r="N12" s="44">
        <f>$U$3+$U$4*E12+$U$5*F12+$U$6*G12+$U$7*H12+$U$8*I12+$U$9*J12+$U$10*K12+$U$11*L12+$U$12*M12</f>
        <v/>
      </c>
      <c r="O12" s="44">
        <f>D12-N12</f>
        <v/>
      </c>
      <c r="P12" s="44">
        <f>ABS(O12)</f>
        <v/>
      </c>
      <c r="Q12" s="5">
        <f>RANK(P12,$P$3:$P$308,1)</f>
        <v/>
      </c>
      <c r="R12" s="5">
        <f>IF(O12&gt;0,"Over-predicted","Under-predicted")</f>
        <v/>
      </c>
      <c r="T12" s="12" t="inlineStr">
        <is>
          <t>is_mall</t>
        </is>
      </c>
      <c r="U12" s="20" t="n">
        <v>26401.948816</v>
      </c>
    </row>
    <row r="13">
      <c r="A13" s="6" t="inlineStr">
        <is>
          <t>STR-1003</t>
        </is>
      </c>
      <c r="B13" s="6" t="inlineStr">
        <is>
          <t>Airport</t>
        </is>
      </c>
      <c r="C13" s="6" t="inlineStr">
        <is>
          <t>North</t>
        </is>
      </c>
      <c r="D13" s="45" t="n">
        <v>723060.76</v>
      </c>
      <c r="E13" s="8" t="n">
        <v>9172</v>
      </c>
      <c r="F13" s="8" t="n">
        <v>34285.21</v>
      </c>
      <c r="G13" s="8" t="n">
        <v>88.3</v>
      </c>
      <c r="H13" s="8" t="n">
        <v>3.8</v>
      </c>
      <c r="I13" s="8" t="n">
        <v>0.213</v>
      </c>
      <c r="J13" s="8" t="n">
        <v>1</v>
      </c>
      <c r="K13" s="8">
        <f>IF(B13="High Street",1,0)</f>
        <v/>
      </c>
      <c r="L13" s="8">
        <f>IF(B13="Airport",1,0)</f>
        <v/>
      </c>
      <c r="M13" s="8">
        <f>IF(B13="Mall",1,0)</f>
        <v/>
      </c>
      <c r="N13" s="45">
        <f>$U$3+$U$4*E13+$U$5*F13+$U$6*G13+$U$7*H13+$U$8*I13+$U$9*J13+$U$10*K13+$U$11*L13+$U$12*M13</f>
        <v/>
      </c>
      <c r="O13" s="45">
        <f>D13-N13</f>
        <v/>
      </c>
      <c r="P13" s="45">
        <f>ABS(O13)</f>
        <v/>
      </c>
      <c r="Q13" s="8">
        <f>RANK(P13,$P$3:$P$308,1)</f>
        <v/>
      </c>
      <c r="R13" s="8">
        <f>IF(O13&gt;0,"Over-predicted","Under-predicted")</f>
        <v/>
      </c>
    </row>
    <row r="14">
      <c r="A14" s="2" t="inlineStr">
        <is>
          <t>STR-1003</t>
        </is>
      </c>
      <c r="B14" s="2" t="inlineStr">
        <is>
          <t>Airport</t>
        </is>
      </c>
      <c r="C14" s="2" t="inlineStr">
        <is>
          <t>North</t>
        </is>
      </c>
      <c r="D14" s="44" t="n">
        <v>910791.9399999999</v>
      </c>
      <c r="E14" s="5" t="n">
        <v>11230</v>
      </c>
      <c r="F14" s="5" t="n">
        <v>67979.88</v>
      </c>
      <c r="G14" s="5" t="n">
        <v>85.3</v>
      </c>
      <c r="H14" s="5" t="n">
        <v>3.8</v>
      </c>
      <c r="I14" s="5" t="n">
        <v>0.002</v>
      </c>
      <c r="J14" s="5" t="n">
        <v>0</v>
      </c>
      <c r="K14" s="5">
        <f>IF(B14="High Street",1,0)</f>
        <v/>
      </c>
      <c r="L14" s="5">
        <f>IF(B14="Airport",1,0)</f>
        <v/>
      </c>
      <c r="M14" s="5">
        <f>IF(B14="Mall",1,0)</f>
        <v/>
      </c>
      <c r="N14" s="44">
        <f>$U$3+$U$4*E14+$U$5*F14+$U$6*G14+$U$7*H14+$U$8*I14+$U$9*J14+$U$10*K14+$U$11*L14+$U$12*M14</f>
        <v/>
      </c>
      <c r="O14" s="44">
        <f>D14-N14</f>
        <v/>
      </c>
      <c r="P14" s="44">
        <f>ABS(O14)</f>
        <v/>
      </c>
      <c r="Q14" s="5">
        <f>RANK(P14,$P$3:$P$308,1)</f>
        <v/>
      </c>
      <c r="R14" s="5">
        <f>IF(O14&gt;0,"Over-predicted","Under-predicted")</f>
        <v/>
      </c>
    </row>
    <row r="15">
      <c r="A15" s="6" t="inlineStr">
        <is>
          <t>STR-1004</t>
        </is>
      </c>
      <c r="B15" s="6" t="inlineStr">
        <is>
          <t>Residential</t>
        </is>
      </c>
      <c r="C15" s="6" t="inlineStr">
        <is>
          <t>East</t>
        </is>
      </c>
      <c r="D15" s="45" t="n">
        <v>922168.6</v>
      </c>
      <c r="E15" s="8" t="n">
        <v>12775</v>
      </c>
      <c r="F15" s="8" t="n">
        <v>71828.25999999999</v>
      </c>
      <c r="G15" s="8" t="n">
        <v>81.7</v>
      </c>
      <c r="H15" s="8" t="n">
        <v>4.2</v>
      </c>
      <c r="I15" s="8" t="n">
        <v>0.116</v>
      </c>
      <c r="J15" s="8" t="n">
        <v>1</v>
      </c>
      <c r="K15" s="8">
        <f>IF(B15="High Street",1,0)</f>
        <v/>
      </c>
      <c r="L15" s="8">
        <f>IF(B15="Airport",1,0)</f>
        <v/>
      </c>
      <c r="M15" s="8">
        <f>IF(B15="Mall",1,0)</f>
        <v/>
      </c>
      <c r="N15" s="45">
        <f>$U$3+$U$4*E15+$U$5*F15+$U$6*G15+$U$7*H15+$U$8*I15+$U$9*J15+$U$10*K15+$U$11*L15+$U$12*M15</f>
        <v/>
      </c>
      <c r="O15" s="45">
        <f>D15-N15</f>
        <v/>
      </c>
      <c r="P15" s="45">
        <f>ABS(O15)</f>
        <v/>
      </c>
      <c r="Q15" s="8">
        <f>RANK(P15,$P$3:$P$308,1)</f>
        <v/>
      </c>
      <c r="R15" s="8">
        <f>IF(O15&gt;0,"Over-predicted","Under-predicted")</f>
        <v/>
      </c>
    </row>
    <row r="16">
      <c r="A16" s="2" t="inlineStr">
        <is>
          <t>STR-1004</t>
        </is>
      </c>
      <c r="B16" s="2" t="inlineStr">
        <is>
          <t>Residential</t>
        </is>
      </c>
      <c r="C16" s="2" t="inlineStr">
        <is>
          <t>East</t>
        </is>
      </c>
      <c r="D16" s="44" t="n">
        <v>726606.28</v>
      </c>
      <c r="E16" s="5" t="n">
        <v>10054</v>
      </c>
      <c r="F16" s="5" t="n">
        <v>55716.82</v>
      </c>
      <c r="G16" s="5" t="n">
        <v>84.90000000000001</v>
      </c>
      <c r="H16" s="5" t="n">
        <v>4.3</v>
      </c>
      <c r="I16" s="5" t="n">
        <v>0.146</v>
      </c>
      <c r="J16" s="5" t="n">
        <v>0</v>
      </c>
      <c r="K16" s="5">
        <f>IF(B16="High Street",1,0)</f>
        <v/>
      </c>
      <c r="L16" s="5">
        <f>IF(B16="Airport",1,0)</f>
        <v/>
      </c>
      <c r="M16" s="5">
        <f>IF(B16="Mall",1,0)</f>
        <v/>
      </c>
      <c r="N16" s="44">
        <f>$U$3+$U$4*E16+$U$5*F16+$U$6*G16+$U$7*H16+$U$8*I16+$U$9*J16+$U$10*K16+$U$11*L16+$U$12*M16</f>
        <v/>
      </c>
      <c r="O16" s="44">
        <f>D16-N16</f>
        <v/>
      </c>
      <c r="P16" s="44">
        <f>ABS(O16)</f>
        <v/>
      </c>
      <c r="Q16" s="5">
        <f>RANK(P16,$P$3:$P$308,1)</f>
        <v/>
      </c>
      <c r="R16" s="5">
        <f>IF(O16&gt;0,"Over-predicted","Under-predicted")</f>
        <v/>
      </c>
    </row>
    <row r="17">
      <c r="A17" s="6" t="inlineStr">
        <is>
          <t>STR-1004</t>
        </is>
      </c>
      <c r="B17" s="6" t="inlineStr">
        <is>
          <t>Residential</t>
        </is>
      </c>
      <c r="C17" s="6" t="inlineStr">
        <is>
          <t>East</t>
        </is>
      </c>
      <c r="D17" s="45" t="n">
        <v>746501.09</v>
      </c>
      <c r="E17" s="8" t="n">
        <v>8895</v>
      </c>
      <c r="F17" s="8" t="n">
        <v>59909.51</v>
      </c>
      <c r="G17" s="8" t="n">
        <v>88.8</v>
      </c>
      <c r="H17" s="8" t="n">
        <v>4.3</v>
      </c>
      <c r="I17" s="8" t="n">
        <v>0.228</v>
      </c>
      <c r="J17" s="8" t="n">
        <v>0</v>
      </c>
      <c r="K17" s="8">
        <f>IF(B17="High Street",1,0)</f>
        <v/>
      </c>
      <c r="L17" s="8">
        <f>IF(B17="Airport",1,0)</f>
        <v/>
      </c>
      <c r="M17" s="8">
        <f>IF(B17="Mall",1,0)</f>
        <v/>
      </c>
      <c r="N17" s="45">
        <f>$U$3+$U$4*E17+$U$5*F17+$U$6*G17+$U$7*H17+$U$8*I17+$U$9*J17+$U$10*K17+$U$11*L17+$U$12*M17</f>
        <v/>
      </c>
      <c r="O17" s="45">
        <f>D17-N17</f>
        <v/>
      </c>
      <c r="P17" s="45">
        <f>ABS(O17)</f>
        <v/>
      </c>
      <c r="Q17" s="8">
        <f>RANK(P17,$P$3:$P$308,1)</f>
        <v/>
      </c>
      <c r="R17" s="8">
        <f>IF(O17&gt;0,"Over-predicted","Under-predicted")</f>
        <v/>
      </c>
    </row>
    <row r="18">
      <c r="A18" s="2" t="inlineStr">
        <is>
          <t>STR-1004</t>
        </is>
      </c>
      <c r="B18" s="2" t="inlineStr">
        <is>
          <t>Residential</t>
        </is>
      </c>
      <c r="C18" s="2" t="inlineStr">
        <is>
          <t>East</t>
        </is>
      </c>
      <c r="D18" s="44" t="n">
        <v>834017.02</v>
      </c>
      <c r="E18" s="5" t="n">
        <v>10940</v>
      </c>
      <c r="F18" s="5" t="n">
        <v>75305.71000000001</v>
      </c>
      <c r="G18" s="5" t="n">
        <v>76.5</v>
      </c>
      <c r="H18" s="5" t="n">
        <v>4.5</v>
      </c>
      <c r="I18" s="5" t="n">
        <v>0.006</v>
      </c>
      <c r="J18" s="5" t="n">
        <v>0</v>
      </c>
      <c r="K18" s="5">
        <f>IF(B18="High Street",1,0)</f>
        <v/>
      </c>
      <c r="L18" s="5">
        <f>IF(B18="Airport",1,0)</f>
        <v/>
      </c>
      <c r="M18" s="5">
        <f>IF(B18="Mall",1,0)</f>
        <v/>
      </c>
      <c r="N18" s="44">
        <f>$U$3+$U$4*E18+$U$5*F18+$U$6*G18+$U$7*H18+$U$8*I18+$U$9*J18+$U$10*K18+$U$11*L18+$U$12*M18</f>
        <v/>
      </c>
      <c r="O18" s="44">
        <f>D18-N18</f>
        <v/>
      </c>
      <c r="P18" s="44">
        <f>ABS(O18)</f>
        <v/>
      </c>
      <c r="Q18" s="5">
        <f>RANK(P18,$P$3:$P$308,1)</f>
        <v/>
      </c>
      <c r="R18" s="5">
        <f>IF(O18&gt;0,"Over-predicted","Under-predicted")</f>
        <v/>
      </c>
    </row>
    <row r="19">
      <c r="A19" s="6" t="inlineStr">
        <is>
          <t>STR-1005</t>
        </is>
      </c>
      <c r="B19" s="6" t="inlineStr">
        <is>
          <t>Residential</t>
        </is>
      </c>
      <c r="C19" s="6" t="inlineStr">
        <is>
          <t>South</t>
        </is>
      </c>
      <c r="D19" s="45" t="n">
        <v>666152.52</v>
      </c>
      <c r="E19" s="8" t="n">
        <v>7057</v>
      </c>
      <c r="F19" s="8" t="n">
        <v>48804.22</v>
      </c>
      <c r="G19" s="8" t="n">
        <v>87.7</v>
      </c>
      <c r="H19" s="8" t="n">
        <v>3.7</v>
      </c>
      <c r="I19" s="8" t="n">
        <v>0.005</v>
      </c>
      <c r="J19" s="8" t="n">
        <v>0</v>
      </c>
      <c r="K19" s="8">
        <f>IF(B19="High Street",1,0)</f>
        <v/>
      </c>
      <c r="L19" s="8">
        <f>IF(B19="Airport",1,0)</f>
        <v/>
      </c>
      <c r="M19" s="8">
        <f>IF(B19="Mall",1,0)</f>
        <v/>
      </c>
      <c r="N19" s="45">
        <f>$U$3+$U$4*E19+$U$5*F19+$U$6*G19+$U$7*H19+$U$8*I19+$U$9*J19+$U$10*K19+$U$11*L19+$U$12*M19</f>
        <v/>
      </c>
      <c r="O19" s="45">
        <f>D19-N19</f>
        <v/>
      </c>
      <c r="P19" s="45">
        <f>ABS(O19)</f>
        <v/>
      </c>
      <c r="Q19" s="8">
        <f>RANK(P19,$P$3:$P$308,1)</f>
        <v/>
      </c>
      <c r="R19" s="8">
        <f>IF(O19&gt;0,"Over-predicted","Under-predicted")</f>
        <v/>
      </c>
    </row>
    <row r="20">
      <c r="A20" s="2" t="inlineStr">
        <is>
          <t>STR-1005</t>
        </is>
      </c>
      <c r="B20" s="2" t="inlineStr">
        <is>
          <t>Residential</t>
        </is>
      </c>
      <c r="C20" s="2" t="inlineStr">
        <is>
          <t>South</t>
        </is>
      </c>
      <c r="D20" s="44" t="n">
        <v>573155.1899999999</v>
      </c>
      <c r="E20" s="5" t="n">
        <v>4263</v>
      </c>
      <c r="F20" s="5" t="n">
        <v>59117.9</v>
      </c>
      <c r="G20" s="5" t="n">
        <v>87.59999999999999</v>
      </c>
      <c r="H20" s="5" t="n">
        <v>3.6</v>
      </c>
      <c r="I20" s="5" t="n">
        <v>0.119</v>
      </c>
      <c r="J20" s="5" t="n">
        <v>0</v>
      </c>
      <c r="K20" s="5">
        <f>IF(B20="High Street",1,0)</f>
        <v/>
      </c>
      <c r="L20" s="5">
        <f>IF(B20="Airport",1,0)</f>
        <v/>
      </c>
      <c r="M20" s="5">
        <f>IF(B20="Mall",1,0)</f>
        <v/>
      </c>
      <c r="N20" s="44">
        <f>$U$3+$U$4*E20+$U$5*F20+$U$6*G20+$U$7*H20+$U$8*I20+$U$9*J20+$U$10*K20+$U$11*L20+$U$12*M20</f>
        <v/>
      </c>
      <c r="O20" s="44">
        <f>D20-N20</f>
        <v/>
      </c>
      <c r="P20" s="44">
        <f>ABS(O20)</f>
        <v/>
      </c>
      <c r="Q20" s="5">
        <f>RANK(P20,$P$3:$P$308,1)</f>
        <v/>
      </c>
      <c r="R20" s="5">
        <f>IF(O20&gt;0,"Over-predicted","Under-predicted")</f>
        <v/>
      </c>
    </row>
    <row r="21">
      <c r="A21" s="6" t="inlineStr">
        <is>
          <t>STR-1005</t>
        </is>
      </c>
      <c r="B21" s="6" t="inlineStr">
        <is>
          <t>Residential</t>
        </is>
      </c>
      <c r="C21" s="6" t="inlineStr">
        <is>
          <t>South</t>
        </is>
      </c>
      <c r="D21" s="45" t="n">
        <v>666573.2</v>
      </c>
      <c r="E21" s="8" t="n">
        <v>5538</v>
      </c>
      <c r="F21" s="8" t="n">
        <v>78831.12</v>
      </c>
      <c r="G21" s="8" t="n">
        <v>94.09999999999999</v>
      </c>
      <c r="H21" s="8" t="n">
        <v>3.9</v>
      </c>
      <c r="I21" s="8" t="n">
        <v>0</v>
      </c>
      <c r="J21" s="8" t="n">
        <v>0</v>
      </c>
      <c r="K21" s="8">
        <f>IF(B21="High Street",1,0)</f>
        <v/>
      </c>
      <c r="L21" s="8">
        <f>IF(B21="Airport",1,0)</f>
        <v/>
      </c>
      <c r="M21" s="8">
        <f>IF(B21="Mall",1,0)</f>
        <v/>
      </c>
      <c r="N21" s="45">
        <f>$U$3+$U$4*E21+$U$5*F21+$U$6*G21+$U$7*H21+$U$8*I21+$U$9*J21+$U$10*K21+$U$11*L21+$U$12*M21</f>
        <v/>
      </c>
      <c r="O21" s="45">
        <f>D21-N21</f>
        <v/>
      </c>
      <c r="P21" s="45">
        <f>ABS(O21)</f>
        <v/>
      </c>
      <c r="Q21" s="8">
        <f>RANK(P21,$P$3:$P$308,1)</f>
        <v/>
      </c>
      <c r="R21" s="8">
        <f>IF(O21&gt;0,"Over-predicted","Under-predicted")</f>
        <v/>
      </c>
    </row>
    <row r="22">
      <c r="A22" s="2" t="inlineStr">
        <is>
          <t>STR-1005</t>
        </is>
      </c>
      <c r="B22" s="2" t="inlineStr">
        <is>
          <t>Residential</t>
        </is>
      </c>
      <c r="C22" s="2" t="inlineStr">
        <is>
          <t>South</t>
        </is>
      </c>
      <c r="D22" s="44" t="n">
        <v>591619.95</v>
      </c>
      <c r="E22" s="5" t="n">
        <v>4865</v>
      </c>
      <c r="F22" s="5" t="n">
        <v>41441.93</v>
      </c>
      <c r="G22" s="5" t="n">
        <v>88.3</v>
      </c>
      <c r="H22" s="5" t="n">
        <v>4</v>
      </c>
      <c r="I22" s="5" t="n">
        <v>0.158</v>
      </c>
      <c r="J22" s="5" t="n">
        <v>0</v>
      </c>
      <c r="K22" s="5">
        <f>IF(B22="High Street",1,0)</f>
        <v/>
      </c>
      <c r="L22" s="5">
        <f>IF(B22="Airport",1,0)</f>
        <v/>
      </c>
      <c r="M22" s="5">
        <f>IF(B22="Mall",1,0)</f>
        <v/>
      </c>
      <c r="N22" s="44">
        <f>$U$3+$U$4*E22+$U$5*F22+$U$6*G22+$U$7*H22+$U$8*I22+$U$9*J22+$U$10*K22+$U$11*L22+$U$12*M22</f>
        <v/>
      </c>
      <c r="O22" s="44">
        <f>D22-N22</f>
        <v/>
      </c>
      <c r="P22" s="44">
        <f>ABS(O22)</f>
        <v/>
      </c>
      <c r="Q22" s="5">
        <f>RANK(P22,$P$3:$P$308,1)</f>
        <v/>
      </c>
      <c r="R22" s="5">
        <f>IF(O22&gt;0,"Over-predicted","Under-predicted")</f>
        <v/>
      </c>
    </row>
    <row r="23">
      <c r="A23" s="6" t="inlineStr">
        <is>
          <t>STR-1006</t>
        </is>
      </c>
      <c r="B23" s="6" t="inlineStr">
        <is>
          <t>Residential</t>
        </is>
      </c>
      <c r="C23" s="6" t="inlineStr">
        <is>
          <t>North</t>
        </is>
      </c>
      <c r="D23" s="45" t="n">
        <v>415721.82</v>
      </c>
      <c r="E23" s="8" t="n">
        <v>2822</v>
      </c>
      <c r="F23" s="8" t="n">
        <v>30356.28</v>
      </c>
      <c r="G23" s="8" t="n">
        <v>84.8</v>
      </c>
      <c r="H23" s="8" t="n">
        <v>5</v>
      </c>
      <c r="I23" s="8" t="n">
        <v>0.231</v>
      </c>
      <c r="J23" s="8" t="n">
        <v>0</v>
      </c>
      <c r="K23" s="8">
        <f>IF(B23="High Street",1,0)</f>
        <v/>
      </c>
      <c r="L23" s="8">
        <f>IF(B23="Airport",1,0)</f>
        <v/>
      </c>
      <c r="M23" s="8">
        <f>IF(B23="Mall",1,0)</f>
        <v/>
      </c>
      <c r="N23" s="45">
        <f>$U$3+$U$4*E23+$U$5*F23+$U$6*G23+$U$7*H23+$U$8*I23+$U$9*J23+$U$10*K23+$U$11*L23+$U$12*M23</f>
        <v/>
      </c>
      <c r="O23" s="45">
        <f>D23-N23</f>
        <v/>
      </c>
      <c r="P23" s="45">
        <f>ABS(O23)</f>
        <v/>
      </c>
      <c r="Q23" s="8">
        <f>RANK(P23,$P$3:$P$308,1)</f>
        <v/>
      </c>
      <c r="R23" s="8">
        <f>IF(O23&gt;0,"Over-predicted","Under-predicted")</f>
        <v/>
      </c>
    </row>
    <row r="24">
      <c r="A24" s="2" t="inlineStr">
        <is>
          <t>STR-1006</t>
        </is>
      </c>
      <c r="B24" s="2" t="inlineStr">
        <is>
          <t>Residential</t>
        </is>
      </c>
      <c r="C24" s="2" t="inlineStr">
        <is>
          <t>North</t>
        </is>
      </c>
      <c r="D24" s="44" t="n">
        <v>491905.13</v>
      </c>
      <c r="E24" s="5" t="n">
        <v>2121</v>
      </c>
      <c r="F24" s="5" t="n">
        <v>33518.88</v>
      </c>
      <c r="G24" s="5" t="n">
        <v>88.5</v>
      </c>
      <c r="H24" s="5" t="n">
        <v>5</v>
      </c>
      <c r="I24" s="5" t="n">
        <v>0.176</v>
      </c>
      <c r="J24" s="5" t="n">
        <v>0</v>
      </c>
      <c r="K24" s="5">
        <f>IF(B24="High Street",1,0)</f>
        <v/>
      </c>
      <c r="L24" s="5">
        <f>IF(B24="Airport",1,0)</f>
        <v/>
      </c>
      <c r="M24" s="5">
        <f>IF(B24="Mall",1,0)</f>
        <v/>
      </c>
      <c r="N24" s="44">
        <f>$U$3+$U$4*E24+$U$5*F24+$U$6*G24+$U$7*H24+$U$8*I24+$U$9*J24+$U$10*K24+$U$11*L24+$U$12*M24</f>
        <v/>
      </c>
      <c r="O24" s="44">
        <f>D24-N24</f>
        <v/>
      </c>
      <c r="P24" s="44">
        <f>ABS(O24)</f>
        <v/>
      </c>
      <c r="Q24" s="5">
        <f>RANK(P24,$P$3:$P$308,1)</f>
        <v/>
      </c>
      <c r="R24" s="5">
        <f>IF(O24&gt;0,"Over-predicted","Under-predicted")</f>
        <v/>
      </c>
    </row>
    <row r="25">
      <c r="A25" s="6" t="inlineStr">
        <is>
          <t>STR-1006</t>
        </is>
      </c>
      <c r="B25" s="6" t="inlineStr">
        <is>
          <t>Residential</t>
        </is>
      </c>
      <c r="C25" s="6" t="inlineStr">
        <is>
          <t>North</t>
        </is>
      </c>
      <c r="D25" s="45" t="n">
        <v>555929.4</v>
      </c>
      <c r="E25" s="8" t="n">
        <v>3364</v>
      </c>
      <c r="F25" s="8" t="n">
        <v>42267.37</v>
      </c>
      <c r="G25" s="8" t="n">
        <v>82</v>
      </c>
      <c r="H25" s="8" t="n">
        <v>4.6</v>
      </c>
      <c r="I25" s="8" t="n">
        <v>0.16</v>
      </c>
      <c r="J25" s="8" t="n">
        <v>1</v>
      </c>
      <c r="K25" s="8">
        <f>IF(B25="High Street",1,0)</f>
        <v/>
      </c>
      <c r="L25" s="8">
        <f>IF(B25="Airport",1,0)</f>
        <v/>
      </c>
      <c r="M25" s="8">
        <f>IF(B25="Mall",1,0)</f>
        <v/>
      </c>
      <c r="N25" s="45">
        <f>$U$3+$U$4*E25+$U$5*F25+$U$6*G25+$U$7*H25+$U$8*I25+$U$9*J25+$U$10*K25+$U$11*L25+$U$12*M25</f>
        <v/>
      </c>
      <c r="O25" s="45">
        <f>D25-N25</f>
        <v/>
      </c>
      <c r="P25" s="45">
        <f>ABS(O25)</f>
        <v/>
      </c>
      <c r="Q25" s="8">
        <f>RANK(P25,$P$3:$P$308,1)</f>
        <v/>
      </c>
      <c r="R25" s="8">
        <f>IF(O25&gt;0,"Over-predicted","Under-predicted")</f>
        <v/>
      </c>
    </row>
    <row r="26">
      <c r="A26" s="2" t="inlineStr">
        <is>
          <t>STR-1006</t>
        </is>
      </c>
      <c r="B26" s="2" t="inlineStr">
        <is>
          <t>Residential</t>
        </is>
      </c>
      <c r="C26" s="2" t="inlineStr">
        <is>
          <t>North</t>
        </is>
      </c>
      <c r="D26" s="44" t="n">
        <v>565810.99</v>
      </c>
      <c r="E26" s="5" t="n">
        <v>2613</v>
      </c>
      <c r="F26" s="5" t="n">
        <v>62060.43</v>
      </c>
      <c r="G26" s="5" t="n">
        <v>92.09999999999999</v>
      </c>
      <c r="H26" s="5" t="n">
        <v>4.7</v>
      </c>
      <c r="I26" s="5" t="n">
        <v>0.216</v>
      </c>
      <c r="J26" s="5" t="n">
        <v>0</v>
      </c>
      <c r="K26" s="5">
        <f>IF(B26="High Street",1,0)</f>
        <v/>
      </c>
      <c r="L26" s="5">
        <f>IF(B26="Airport",1,0)</f>
        <v/>
      </c>
      <c r="M26" s="5">
        <f>IF(B26="Mall",1,0)</f>
        <v/>
      </c>
      <c r="N26" s="44">
        <f>$U$3+$U$4*E26+$U$5*F26+$U$6*G26+$U$7*H26+$U$8*I26+$U$9*J26+$U$10*K26+$U$11*L26+$U$12*M26</f>
        <v/>
      </c>
      <c r="O26" s="44">
        <f>D26-N26</f>
        <v/>
      </c>
      <c r="P26" s="44">
        <f>ABS(O26)</f>
        <v/>
      </c>
      <c r="Q26" s="5">
        <f>RANK(P26,$P$3:$P$308,1)</f>
        <v/>
      </c>
      <c r="R26" s="5">
        <f>IF(O26&gt;0,"Over-predicted","Under-predicted")</f>
        <v/>
      </c>
    </row>
    <row r="27">
      <c r="A27" s="6" t="inlineStr">
        <is>
          <t>STR-1007</t>
        </is>
      </c>
      <c r="B27" s="6" t="inlineStr">
        <is>
          <t>Mall</t>
        </is>
      </c>
      <c r="C27" s="6" t="inlineStr">
        <is>
          <t>West</t>
        </is>
      </c>
      <c r="D27" s="45" t="n">
        <v>811771.14</v>
      </c>
      <c r="E27" s="8" t="n">
        <v>10218</v>
      </c>
      <c r="F27" s="8" t="n">
        <v>57696.69</v>
      </c>
      <c r="G27" s="8" t="n">
        <v>94.8</v>
      </c>
      <c r="H27" s="8" t="n">
        <v>3.5</v>
      </c>
      <c r="I27" s="8" t="n">
        <v>0.121</v>
      </c>
      <c r="J27" s="8" t="n">
        <v>0</v>
      </c>
      <c r="K27" s="8">
        <f>IF(B27="High Street",1,0)</f>
        <v/>
      </c>
      <c r="L27" s="8">
        <f>IF(B27="Airport",1,0)</f>
        <v/>
      </c>
      <c r="M27" s="8">
        <f>IF(B27="Mall",1,0)</f>
        <v/>
      </c>
      <c r="N27" s="45">
        <f>$U$3+$U$4*E27+$U$5*F27+$U$6*G27+$U$7*H27+$U$8*I27+$U$9*J27+$U$10*K27+$U$11*L27+$U$12*M27</f>
        <v/>
      </c>
      <c r="O27" s="45">
        <f>D27-N27</f>
        <v/>
      </c>
      <c r="P27" s="45">
        <f>ABS(O27)</f>
        <v/>
      </c>
      <c r="Q27" s="8">
        <f>RANK(P27,$P$3:$P$308,1)</f>
        <v/>
      </c>
      <c r="R27" s="8">
        <f>IF(O27&gt;0,"Over-predicted","Under-predicted")</f>
        <v/>
      </c>
    </row>
    <row r="28">
      <c r="A28" s="2" t="inlineStr">
        <is>
          <t>STR-1007</t>
        </is>
      </c>
      <c r="B28" s="2" t="inlineStr">
        <is>
          <t>Mall</t>
        </is>
      </c>
      <c r="C28" s="2" t="inlineStr">
        <is>
          <t>West</t>
        </is>
      </c>
      <c r="D28" s="44" t="n">
        <v>800451.9399999999</v>
      </c>
      <c r="E28" s="5" t="n">
        <v>8927</v>
      </c>
      <c r="F28" s="5" t="n">
        <v>172415.52</v>
      </c>
      <c r="G28" s="5" t="n">
        <v>86.2</v>
      </c>
      <c r="H28" s="5" t="n">
        <v>3.9</v>
      </c>
      <c r="I28" s="5" t="n">
        <v>0.14</v>
      </c>
      <c r="J28" s="5" t="n">
        <v>0</v>
      </c>
      <c r="K28" s="5">
        <f>IF(B28="High Street",1,0)</f>
        <v/>
      </c>
      <c r="L28" s="5">
        <f>IF(B28="Airport",1,0)</f>
        <v/>
      </c>
      <c r="M28" s="5">
        <f>IF(B28="Mall",1,0)</f>
        <v/>
      </c>
      <c r="N28" s="44">
        <f>$U$3+$U$4*E28+$U$5*F28+$U$6*G28+$U$7*H28+$U$8*I28+$U$9*J28+$U$10*K28+$U$11*L28+$U$12*M28</f>
        <v/>
      </c>
      <c r="O28" s="44">
        <f>D28-N28</f>
        <v/>
      </c>
      <c r="P28" s="44">
        <f>ABS(O28)</f>
        <v/>
      </c>
      <c r="Q28" s="5">
        <f>RANK(P28,$P$3:$P$308,1)</f>
        <v/>
      </c>
      <c r="R28" s="5">
        <f>IF(O28&gt;0,"Over-predicted","Under-predicted")</f>
        <v/>
      </c>
    </row>
    <row r="29">
      <c r="A29" s="6" t="inlineStr">
        <is>
          <t>STR-1007</t>
        </is>
      </c>
      <c r="B29" s="6" t="inlineStr">
        <is>
          <t>Mall</t>
        </is>
      </c>
      <c r="C29" s="6" t="inlineStr">
        <is>
          <t>West</t>
        </is>
      </c>
      <c r="D29" s="45" t="n">
        <v>783672.8199999999</v>
      </c>
      <c r="E29" s="8" t="n">
        <v>9315</v>
      </c>
      <c r="F29" s="8" t="n">
        <v>55270.52</v>
      </c>
      <c r="G29" s="8" t="n">
        <v>91.90000000000001</v>
      </c>
      <c r="H29" s="8" t="n">
        <v>4</v>
      </c>
      <c r="I29" s="8" t="n">
        <v>0.169</v>
      </c>
      <c r="J29" s="8" t="n">
        <v>0</v>
      </c>
      <c r="K29" s="8">
        <f>IF(B29="High Street",1,0)</f>
        <v/>
      </c>
      <c r="L29" s="8">
        <f>IF(B29="Airport",1,0)</f>
        <v/>
      </c>
      <c r="M29" s="8">
        <f>IF(B29="Mall",1,0)</f>
        <v/>
      </c>
      <c r="N29" s="45">
        <f>$U$3+$U$4*E29+$U$5*F29+$U$6*G29+$U$7*H29+$U$8*I29+$U$9*J29+$U$10*K29+$U$11*L29+$U$12*M29</f>
        <v/>
      </c>
      <c r="O29" s="45">
        <f>D29-N29</f>
        <v/>
      </c>
      <c r="P29" s="45">
        <f>ABS(O29)</f>
        <v/>
      </c>
      <c r="Q29" s="8">
        <f>RANK(P29,$P$3:$P$308,1)</f>
        <v/>
      </c>
      <c r="R29" s="8">
        <f>IF(O29&gt;0,"Over-predicted","Under-predicted")</f>
        <v/>
      </c>
    </row>
    <row r="30">
      <c r="A30" s="2" t="inlineStr">
        <is>
          <t>STR-1007</t>
        </is>
      </c>
      <c r="B30" s="2" t="inlineStr">
        <is>
          <t>Mall</t>
        </is>
      </c>
      <c r="C30" s="2" t="inlineStr">
        <is>
          <t>West</t>
        </is>
      </c>
      <c r="D30" s="44" t="n">
        <v>701641.97</v>
      </c>
      <c r="E30" s="5" t="n">
        <v>7223</v>
      </c>
      <c r="F30" s="5" t="n">
        <v>52715.1</v>
      </c>
      <c r="G30" s="5" t="n">
        <v>84.2</v>
      </c>
      <c r="H30" s="5" t="n">
        <v>3.7</v>
      </c>
      <c r="I30" s="5" t="n">
        <v>0.122</v>
      </c>
      <c r="J30" s="5" t="n">
        <v>0</v>
      </c>
      <c r="K30" s="5">
        <f>IF(B30="High Street",1,0)</f>
        <v/>
      </c>
      <c r="L30" s="5">
        <f>IF(B30="Airport",1,0)</f>
        <v/>
      </c>
      <c r="M30" s="5">
        <f>IF(B30="Mall",1,0)</f>
        <v/>
      </c>
      <c r="N30" s="44">
        <f>$U$3+$U$4*E30+$U$5*F30+$U$6*G30+$U$7*H30+$U$8*I30+$U$9*J30+$U$10*K30+$U$11*L30+$U$12*M30</f>
        <v/>
      </c>
      <c r="O30" s="44">
        <f>D30-N30</f>
        <v/>
      </c>
      <c r="P30" s="44">
        <f>ABS(O30)</f>
        <v/>
      </c>
      <c r="Q30" s="5">
        <f>RANK(P30,$P$3:$P$308,1)</f>
        <v/>
      </c>
      <c r="R30" s="5">
        <f>IF(O30&gt;0,"Over-predicted","Under-predicted")</f>
        <v/>
      </c>
    </row>
    <row r="31">
      <c r="A31" s="6" t="inlineStr">
        <is>
          <t>STR-1008</t>
        </is>
      </c>
      <c r="B31" s="6" t="inlineStr">
        <is>
          <t>Residential</t>
        </is>
      </c>
      <c r="C31" s="6" t="inlineStr">
        <is>
          <t>East</t>
        </is>
      </c>
      <c r="D31" s="45" t="n">
        <v>511844.41</v>
      </c>
      <c r="E31" s="8" t="n">
        <v>3988</v>
      </c>
      <c r="F31" s="8" t="n">
        <v>68600.62</v>
      </c>
      <c r="G31" s="8" t="n">
        <v>85</v>
      </c>
      <c r="H31" s="8" t="n">
        <v>3.6</v>
      </c>
      <c r="I31" s="8" t="n">
        <v>0.124</v>
      </c>
      <c r="J31" s="8" t="n">
        <v>0</v>
      </c>
      <c r="K31" s="8">
        <f>IF(B31="High Street",1,0)</f>
        <v/>
      </c>
      <c r="L31" s="8">
        <f>IF(B31="Airport",1,0)</f>
        <v/>
      </c>
      <c r="M31" s="8">
        <f>IF(B31="Mall",1,0)</f>
        <v/>
      </c>
      <c r="N31" s="45">
        <f>$U$3+$U$4*E31+$U$5*F31+$U$6*G31+$U$7*H31+$U$8*I31+$U$9*J31+$U$10*K31+$U$11*L31+$U$12*M31</f>
        <v/>
      </c>
      <c r="O31" s="45">
        <f>D31-N31</f>
        <v/>
      </c>
      <c r="P31" s="45">
        <f>ABS(O31)</f>
        <v/>
      </c>
      <c r="Q31" s="8">
        <f>RANK(P31,$P$3:$P$308,1)</f>
        <v/>
      </c>
      <c r="R31" s="8">
        <f>IF(O31&gt;0,"Over-predicted","Under-predicted")</f>
        <v/>
      </c>
    </row>
    <row r="32">
      <c r="A32" s="2" t="inlineStr">
        <is>
          <t>STR-1008</t>
        </is>
      </c>
      <c r="B32" s="2" t="inlineStr">
        <is>
          <t>Residential</t>
        </is>
      </c>
      <c r="C32" s="2" t="inlineStr">
        <is>
          <t>East</t>
        </is>
      </c>
      <c r="D32" s="44" t="n">
        <v>537383.79</v>
      </c>
      <c r="E32" s="5" t="n">
        <v>2390</v>
      </c>
      <c r="F32" s="5" t="n">
        <v>63176.73</v>
      </c>
      <c r="G32" s="5" t="n">
        <v>87.5</v>
      </c>
      <c r="H32" s="5" t="n">
        <v>3.1</v>
      </c>
      <c r="I32" s="5" t="n">
        <v>0.216</v>
      </c>
      <c r="J32" s="5" t="n">
        <v>0</v>
      </c>
      <c r="K32" s="5">
        <f>IF(B32="High Street",1,0)</f>
        <v/>
      </c>
      <c r="L32" s="5">
        <f>IF(B32="Airport",1,0)</f>
        <v/>
      </c>
      <c r="M32" s="5">
        <f>IF(B32="Mall",1,0)</f>
        <v/>
      </c>
      <c r="N32" s="44">
        <f>$U$3+$U$4*E32+$U$5*F32+$U$6*G32+$U$7*H32+$U$8*I32+$U$9*J32+$U$10*K32+$U$11*L32+$U$12*M32</f>
        <v/>
      </c>
      <c r="O32" s="44">
        <f>D32-N32</f>
        <v/>
      </c>
      <c r="P32" s="44">
        <f>ABS(O32)</f>
        <v/>
      </c>
      <c r="Q32" s="5">
        <f>RANK(P32,$P$3:$P$308,1)</f>
        <v/>
      </c>
      <c r="R32" s="5">
        <f>IF(O32&gt;0,"Over-predicted","Under-predicted")</f>
        <v/>
      </c>
    </row>
    <row r="33">
      <c r="A33" s="6" t="inlineStr">
        <is>
          <t>STR-1008</t>
        </is>
      </c>
      <c r="B33" s="6" t="inlineStr">
        <is>
          <t>Residential</t>
        </is>
      </c>
      <c r="C33" s="6" t="inlineStr">
        <is>
          <t>East</t>
        </is>
      </c>
      <c r="D33" s="45" t="n">
        <v>500173.02</v>
      </c>
      <c r="E33" s="8" t="n">
        <v>2471</v>
      </c>
      <c r="F33" s="8" t="n">
        <v>44970.08</v>
      </c>
      <c r="G33" s="8" t="n">
        <v>87.59999999999999</v>
      </c>
      <c r="H33" s="8" t="n">
        <v>3.7</v>
      </c>
      <c r="I33" s="8" t="n">
        <v>0.136</v>
      </c>
      <c r="J33" s="8" t="n">
        <v>1</v>
      </c>
      <c r="K33" s="8">
        <f>IF(B33="High Street",1,0)</f>
        <v/>
      </c>
      <c r="L33" s="8">
        <f>IF(B33="Airport",1,0)</f>
        <v/>
      </c>
      <c r="M33" s="8">
        <f>IF(B33="Mall",1,0)</f>
        <v/>
      </c>
      <c r="N33" s="45">
        <f>$U$3+$U$4*E33+$U$5*F33+$U$6*G33+$U$7*H33+$U$8*I33+$U$9*J33+$U$10*K33+$U$11*L33+$U$12*M33</f>
        <v/>
      </c>
      <c r="O33" s="45">
        <f>D33-N33</f>
        <v/>
      </c>
      <c r="P33" s="45">
        <f>ABS(O33)</f>
        <v/>
      </c>
      <c r="Q33" s="8">
        <f>RANK(P33,$P$3:$P$308,1)</f>
        <v/>
      </c>
      <c r="R33" s="8">
        <f>IF(O33&gt;0,"Over-predicted","Under-predicted")</f>
        <v/>
      </c>
    </row>
    <row r="34">
      <c r="A34" s="2" t="inlineStr">
        <is>
          <t>STR-1008</t>
        </is>
      </c>
      <c r="B34" s="2" t="inlineStr">
        <is>
          <t>Residential</t>
        </is>
      </c>
      <c r="C34" s="2" t="inlineStr">
        <is>
          <t>East</t>
        </is>
      </c>
      <c r="D34" s="44" t="n">
        <v>427917.38</v>
      </c>
      <c r="E34" s="5" t="n">
        <v>971</v>
      </c>
      <c r="F34" s="5" t="n">
        <v>69816.35000000001</v>
      </c>
      <c r="G34" s="5" t="n">
        <v>89.90000000000001</v>
      </c>
      <c r="H34" s="5" t="n">
        <v>3.6</v>
      </c>
      <c r="I34" s="5" t="n">
        <v>0.168</v>
      </c>
      <c r="J34" s="5" t="n">
        <v>0</v>
      </c>
      <c r="K34" s="5">
        <f>IF(B34="High Street",1,0)</f>
        <v/>
      </c>
      <c r="L34" s="5">
        <f>IF(B34="Airport",1,0)</f>
        <v/>
      </c>
      <c r="M34" s="5">
        <f>IF(B34="Mall",1,0)</f>
        <v/>
      </c>
      <c r="N34" s="44">
        <f>$U$3+$U$4*E34+$U$5*F34+$U$6*G34+$U$7*H34+$U$8*I34+$U$9*J34+$U$10*K34+$U$11*L34+$U$12*M34</f>
        <v/>
      </c>
      <c r="O34" s="44">
        <f>D34-N34</f>
        <v/>
      </c>
      <c r="P34" s="44">
        <f>ABS(O34)</f>
        <v/>
      </c>
      <c r="Q34" s="5">
        <f>RANK(P34,$P$3:$P$308,1)</f>
        <v/>
      </c>
      <c r="R34" s="5">
        <f>IF(O34&gt;0,"Over-predicted","Under-predicted")</f>
        <v/>
      </c>
    </row>
    <row r="35">
      <c r="A35" s="6" t="inlineStr">
        <is>
          <t>STR-1009</t>
        </is>
      </c>
      <c r="B35" s="6" t="inlineStr">
        <is>
          <t>Residential</t>
        </is>
      </c>
      <c r="C35" s="6" t="inlineStr">
        <is>
          <t>North</t>
        </is>
      </c>
      <c r="D35" s="45" t="n">
        <v>641865.03</v>
      </c>
      <c r="E35" s="8" t="n">
        <v>9429</v>
      </c>
      <c r="F35" s="8" t="n">
        <v>54597.83</v>
      </c>
      <c r="G35" s="8" t="n">
        <v>83.3</v>
      </c>
      <c r="H35" s="8" t="n">
        <v>4.2</v>
      </c>
      <c r="I35" s="8" t="n">
        <v>0.188</v>
      </c>
      <c r="J35" s="8" t="n">
        <v>0</v>
      </c>
      <c r="K35" s="8">
        <f>IF(B35="High Street",1,0)</f>
        <v/>
      </c>
      <c r="L35" s="8">
        <f>IF(B35="Airport",1,0)</f>
        <v/>
      </c>
      <c r="M35" s="8">
        <f>IF(B35="Mall",1,0)</f>
        <v/>
      </c>
      <c r="N35" s="45">
        <f>$U$3+$U$4*E35+$U$5*F35+$U$6*G35+$U$7*H35+$U$8*I35+$U$9*J35+$U$10*K35+$U$11*L35+$U$12*M35</f>
        <v/>
      </c>
      <c r="O35" s="45">
        <f>D35-N35</f>
        <v/>
      </c>
      <c r="P35" s="45">
        <f>ABS(O35)</f>
        <v/>
      </c>
      <c r="Q35" s="8">
        <f>RANK(P35,$P$3:$P$308,1)</f>
        <v/>
      </c>
      <c r="R35" s="8">
        <f>IF(O35&gt;0,"Over-predicted","Under-predicted")</f>
        <v/>
      </c>
    </row>
    <row r="36">
      <c r="A36" s="2" t="inlineStr">
        <is>
          <t>STR-1009</t>
        </is>
      </c>
      <c r="B36" s="2" t="inlineStr">
        <is>
          <t>Residential</t>
        </is>
      </c>
      <c r="C36" s="2" t="inlineStr">
        <is>
          <t>North</t>
        </is>
      </c>
      <c r="D36" s="44" t="n">
        <v>798952.17</v>
      </c>
      <c r="E36" s="5" t="n">
        <v>9449</v>
      </c>
      <c r="F36" s="5" t="n">
        <v>74413.88</v>
      </c>
      <c r="G36" s="5" t="n">
        <v>92.09999999999999</v>
      </c>
      <c r="H36" s="5" t="n">
        <v>3.5</v>
      </c>
      <c r="I36" s="5" t="n">
        <v>0.039</v>
      </c>
      <c r="J36" s="5" t="n">
        <v>0</v>
      </c>
      <c r="K36" s="5">
        <f>IF(B36="High Street",1,0)</f>
        <v/>
      </c>
      <c r="L36" s="5">
        <f>IF(B36="Airport",1,0)</f>
        <v/>
      </c>
      <c r="M36" s="5">
        <f>IF(B36="Mall",1,0)</f>
        <v/>
      </c>
      <c r="N36" s="44">
        <f>$U$3+$U$4*E36+$U$5*F36+$U$6*G36+$U$7*H36+$U$8*I36+$U$9*J36+$U$10*K36+$U$11*L36+$U$12*M36</f>
        <v/>
      </c>
      <c r="O36" s="44">
        <f>D36-N36</f>
        <v/>
      </c>
      <c r="P36" s="44">
        <f>ABS(O36)</f>
        <v/>
      </c>
      <c r="Q36" s="5">
        <f>RANK(P36,$P$3:$P$308,1)</f>
        <v/>
      </c>
      <c r="R36" s="5">
        <f>IF(O36&gt;0,"Over-predicted","Under-predicted")</f>
        <v/>
      </c>
    </row>
    <row r="37">
      <c r="A37" s="6" t="inlineStr">
        <is>
          <t>STR-1009</t>
        </is>
      </c>
      <c r="B37" s="6" t="inlineStr">
        <is>
          <t>Residential</t>
        </is>
      </c>
      <c r="C37" s="6" t="inlineStr">
        <is>
          <t>North</t>
        </is>
      </c>
      <c r="D37" s="45" t="n">
        <v>800979.78</v>
      </c>
      <c r="E37" s="8" t="n">
        <v>10453</v>
      </c>
      <c r="F37" s="8" t="n">
        <v>52483.77</v>
      </c>
      <c r="G37" s="8" t="n">
        <v>99</v>
      </c>
      <c r="H37" s="8" t="n">
        <v>3.6</v>
      </c>
      <c r="I37" s="8" t="n">
        <v>0.247</v>
      </c>
      <c r="J37" s="8" t="n">
        <v>0</v>
      </c>
      <c r="K37" s="8">
        <f>IF(B37="High Street",1,0)</f>
        <v/>
      </c>
      <c r="L37" s="8">
        <f>IF(B37="Airport",1,0)</f>
        <v/>
      </c>
      <c r="M37" s="8">
        <f>IF(B37="Mall",1,0)</f>
        <v/>
      </c>
      <c r="N37" s="45">
        <f>$U$3+$U$4*E37+$U$5*F37+$U$6*G37+$U$7*H37+$U$8*I37+$U$9*J37+$U$10*K37+$U$11*L37+$U$12*M37</f>
        <v/>
      </c>
      <c r="O37" s="45">
        <f>D37-N37</f>
        <v/>
      </c>
      <c r="P37" s="45">
        <f>ABS(O37)</f>
        <v/>
      </c>
      <c r="Q37" s="8">
        <f>RANK(P37,$P$3:$P$308,1)</f>
        <v/>
      </c>
      <c r="R37" s="8">
        <f>IF(O37&gt;0,"Over-predicted","Under-predicted")</f>
        <v/>
      </c>
    </row>
    <row r="38">
      <c r="A38" s="2" t="inlineStr">
        <is>
          <t>STR-1010</t>
        </is>
      </c>
      <c r="B38" s="2" t="inlineStr">
        <is>
          <t>Mall</t>
        </is>
      </c>
      <c r="C38" s="2" t="inlineStr">
        <is>
          <t>North</t>
        </is>
      </c>
      <c r="D38" s="44" t="n">
        <v>820593.9300000001</v>
      </c>
      <c r="E38" s="5" t="n">
        <v>8838</v>
      </c>
      <c r="F38" s="5" t="n">
        <v>75269.87</v>
      </c>
      <c r="G38" s="5" t="n">
        <v>83.09999999999999</v>
      </c>
      <c r="H38" s="5" t="n">
        <v>4.2</v>
      </c>
      <c r="I38" s="5" t="n">
        <v>0.092</v>
      </c>
      <c r="J38" s="5" t="n">
        <v>1</v>
      </c>
      <c r="K38" s="5">
        <f>IF(B38="High Street",1,0)</f>
        <v/>
      </c>
      <c r="L38" s="5">
        <f>IF(B38="Airport",1,0)</f>
        <v/>
      </c>
      <c r="M38" s="5">
        <f>IF(B38="Mall",1,0)</f>
        <v/>
      </c>
      <c r="N38" s="44">
        <f>$U$3+$U$4*E38+$U$5*F38+$U$6*G38+$U$7*H38+$U$8*I38+$U$9*J38+$U$10*K38+$U$11*L38+$U$12*M38</f>
        <v/>
      </c>
      <c r="O38" s="44">
        <f>D38-N38</f>
        <v/>
      </c>
      <c r="P38" s="44">
        <f>ABS(O38)</f>
        <v/>
      </c>
      <c r="Q38" s="5">
        <f>RANK(P38,$P$3:$P$308,1)</f>
        <v/>
      </c>
      <c r="R38" s="5">
        <f>IF(O38&gt;0,"Over-predicted","Under-predicted")</f>
        <v/>
      </c>
    </row>
    <row r="39">
      <c r="A39" s="6" t="inlineStr">
        <is>
          <t>STR-1010</t>
        </is>
      </c>
      <c r="B39" s="6" t="inlineStr">
        <is>
          <t>Mall</t>
        </is>
      </c>
      <c r="C39" s="6" t="inlineStr">
        <is>
          <t>North</t>
        </is>
      </c>
      <c r="D39" s="45" t="n">
        <v>718330.53</v>
      </c>
      <c r="E39" s="8" t="n">
        <v>8156</v>
      </c>
      <c r="F39" s="8" t="n">
        <v>61245.41</v>
      </c>
      <c r="G39" s="8" t="n">
        <v>92.90000000000001</v>
      </c>
      <c r="H39" s="8" t="n">
        <v>3.8</v>
      </c>
      <c r="I39" s="8" t="n">
        <v>0.156</v>
      </c>
      <c r="J39" s="8" t="n">
        <v>0</v>
      </c>
      <c r="K39" s="8">
        <f>IF(B39="High Street",1,0)</f>
        <v/>
      </c>
      <c r="L39" s="8">
        <f>IF(B39="Airport",1,0)</f>
        <v/>
      </c>
      <c r="M39" s="8">
        <f>IF(B39="Mall",1,0)</f>
        <v/>
      </c>
      <c r="N39" s="45">
        <f>$U$3+$U$4*E39+$U$5*F39+$U$6*G39+$U$7*H39+$U$8*I39+$U$9*J39+$U$10*K39+$U$11*L39+$U$12*M39</f>
        <v/>
      </c>
      <c r="O39" s="45">
        <f>D39-N39</f>
        <v/>
      </c>
      <c r="P39" s="45">
        <f>ABS(O39)</f>
        <v/>
      </c>
      <c r="Q39" s="8">
        <f>RANK(P39,$P$3:$P$308,1)</f>
        <v/>
      </c>
      <c r="R39" s="8">
        <f>IF(O39&gt;0,"Over-predicted","Under-predicted")</f>
        <v/>
      </c>
    </row>
    <row r="40">
      <c r="A40" s="2" t="inlineStr">
        <is>
          <t>STR-1010</t>
        </is>
      </c>
      <c r="B40" s="2" t="inlineStr">
        <is>
          <t>Mall</t>
        </is>
      </c>
      <c r="C40" s="2" t="inlineStr">
        <is>
          <t>North</t>
        </is>
      </c>
      <c r="D40" s="44" t="n">
        <v>736633.4</v>
      </c>
      <c r="E40" s="5" t="n">
        <v>7562</v>
      </c>
      <c r="F40" s="5" t="n">
        <v>93381.25999999999</v>
      </c>
      <c r="G40" s="5" t="n">
        <v>82.90000000000001</v>
      </c>
      <c r="H40" s="5" t="n">
        <v>4</v>
      </c>
      <c r="I40" s="5" t="n">
        <v>0.198</v>
      </c>
      <c r="J40" s="5" t="n">
        <v>0</v>
      </c>
      <c r="K40" s="5">
        <f>IF(B40="High Street",1,0)</f>
        <v/>
      </c>
      <c r="L40" s="5">
        <f>IF(B40="Airport",1,0)</f>
        <v/>
      </c>
      <c r="M40" s="5">
        <f>IF(B40="Mall",1,0)</f>
        <v/>
      </c>
      <c r="N40" s="44">
        <f>$U$3+$U$4*E40+$U$5*F40+$U$6*G40+$U$7*H40+$U$8*I40+$U$9*J40+$U$10*K40+$U$11*L40+$U$12*M40</f>
        <v/>
      </c>
      <c r="O40" s="44">
        <f>D40-N40</f>
        <v/>
      </c>
      <c r="P40" s="44">
        <f>ABS(O40)</f>
        <v/>
      </c>
      <c r="Q40" s="5">
        <f>RANK(P40,$P$3:$P$308,1)</f>
        <v/>
      </c>
      <c r="R40" s="5">
        <f>IF(O40&gt;0,"Over-predicted","Under-predicted")</f>
        <v/>
      </c>
    </row>
    <row r="41">
      <c r="A41" s="6" t="inlineStr">
        <is>
          <t>STR-1010</t>
        </is>
      </c>
      <c r="B41" s="6" t="inlineStr">
        <is>
          <t>Mall</t>
        </is>
      </c>
      <c r="C41" s="6" t="inlineStr">
        <is>
          <t>North</t>
        </is>
      </c>
      <c r="D41" s="45" t="n">
        <v>828623.85</v>
      </c>
      <c r="E41" s="8" t="n">
        <v>9598</v>
      </c>
      <c r="F41" s="8" t="n">
        <v>65012.19</v>
      </c>
      <c r="G41" s="8" t="n">
        <v>98.3</v>
      </c>
      <c r="H41" s="8" t="n">
        <v>3.8</v>
      </c>
      <c r="I41" s="8" t="n">
        <v>0.08500000000000001</v>
      </c>
      <c r="J41" s="8" t="n">
        <v>0</v>
      </c>
      <c r="K41" s="8">
        <f>IF(B41="High Street",1,0)</f>
        <v/>
      </c>
      <c r="L41" s="8">
        <f>IF(B41="Airport",1,0)</f>
        <v/>
      </c>
      <c r="M41" s="8">
        <f>IF(B41="Mall",1,0)</f>
        <v/>
      </c>
      <c r="N41" s="45">
        <f>$U$3+$U$4*E41+$U$5*F41+$U$6*G41+$U$7*H41+$U$8*I41+$U$9*J41+$U$10*K41+$U$11*L41+$U$12*M41</f>
        <v/>
      </c>
      <c r="O41" s="45">
        <f>D41-N41</f>
        <v/>
      </c>
      <c r="P41" s="45">
        <f>ABS(O41)</f>
        <v/>
      </c>
      <c r="Q41" s="8">
        <f>RANK(P41,$P$3:$P$308,1)</f>
        <v/>
      </c>
      <c r="R41" s="8">
        <f>IF(O41&gt;0,"Over-predicted","Under-predicted")</f>
        <v/>
      </c>
    </row>
    <row r="42">
      <c r="A42" s="2" t="inlineStr">
        <is>
          <t>STR-1011</t>
        </is>
      </c>
      <c r="B42" s="2" t="inlineStr">
        <is>
          <t>Mall</t>
        </is>
      </c>
      <c r="C42" s="2" t="inlineStr">
        <is>
          <t>East</t>
        </is>
      </c>
      <c r="D42" s="44" t="n">
        <v>592195.85</v>
      </c>
      <c r="E42" s="5" t="n">
        <v>3660</v>
      </c>
      <c r="F42" s="5" t="n">
        <v>40462.94</v>
      </c>
      <c r="G42" s="5" t="n">
        <v>95.2</v>
      </c>
      <c r="H42" s="5" t="n">
        <v>4.4</v>
      </c>
      <c r="I42" s="5" t="n">
        <v>0.218</v>
      </c>
      <c r="J42" s="5" t="n">
        <v>0</v>
      </c>
      <c r="K42" s="5">
        <f>IF(B42="High Street",1,0)</f>
        <v/>
      </c>
      <c r="L42" s="5">
        <f>IF(B42="Airport",1,0)</f>
        <v/>
      </c>
      <c r="M42" s="5">
        <f>IF(B42="Mall",1,0)</f>
        <v/>
      </c>
      <c r="N42" s="44">
        <f>$U$3+$U$4*E42+$U$5*F42+$U$6*G42+$U$7*H42+$U$8*I42+$U$9*J42+$U$10*K42+$U$11*L42+$U$12*M42</f>
        <v/>
      </c>
      <c r="O42" s="44">
        <f>D42-N42</f>
        <v/>
      </c>
      <c r="P42" s="44">
        <f>ABS(O42)</f>
        <v/>
      </c>
      <c r="Q42" s="5">
        <f>RANK(P42,$P$3:$P$308,1)</f>
        <v/>
      </c>
      <c r="R42" s="5">
        <f>IF(O42&gt;0,"Over-predicted","Under-predicted")</f>
        <v/>
      </c>
    </row>
    <row r="43">
      <c r="A43" s="6" t="inlineStr">
        <is>
          <t>STR-1011</t>
        </is>
      </c>
      <c r="B43" s="6" t="inlineStr">
        <is>
          <t>Mall</t>
        </is>
      </c>
      <c r="C43" s="6" t="inlineStr">
        <is>
          <t>East</t>
        </is>
      </c>
      <c r="D43" s="45" t="n">
        <v>532644.46</v>
      </c>
      <c r="E43" s="8" t="n">
        <v>3227</v>
      </c>
      <c r="F43" s="8" t="n">
        <v>46123.88</v>
      </c>
      <c r="G43" s="8" t="n">
        <v>75.40000000000001</v>
      </c>
      <c r="H43" s="8" t="n">
        <v>4.4</v>
      </c>
      <c r="I43" s="8" t="n">
        <v>0.143</v>
      </c>
      <c r="J43" s="8" t="n">
        <v>0</v>
      </c>
      <c r="K43" s="8">
        <f>IF(B43="High Street",1,0)</f>
        <v/>
      </c>
      <c r="L43" s="8">
        <f>IF(B43="Airport",1,0)</f>
        <v/>
      </c>
      <c r="M43" s="8">
        <f>IF(B43="Mall",1,0)</f>
        <v/>
      </c>
      <c r="N43" s="45">
        <f>$U$3+$U$4*E43+$U$5*F43+$U$6*G43+$U$7*H43+$U$8*I43+$U$9*J43+$U$10*K43+$U$11*L43+$U$12*M43</f>
        <v/>
      </c>
      <c r="O43" s="45">
        <f>D43-N43</f>
        <v/>
      </c>
      <c r="P43" s="45">
        <f>ABS(O43)</f>
        <v/>
      </c>
      <c r="Q43" s="8">
        <f>RANK(P43,$P$3:$P$308,1)</f>
        <v/>
      </c>
      <c r="R43" s="8">
        <f>IF(O43&gt;0,"Over-predicted","Under-predicted")</f>
        <v/>
      </c>
    </row>
    <row r="44">
      <c r="A44" s="2" t="inlineStr">
        <is>
          <t>STR-1011</t>
        </is>
      </c>
      <c r="B44" s="2" t="inlineStr">
        <is>
          <t>Mall</t>
        </is>
      </c>
      <c r="C44" s="2" t="inlineStr">
        <is>
          <t>East</t>
        </is>
      </c>
      <c r="D44" s="44" t="n">
        <v>657429.1800000001</v>
      </c>
      <c r="E44" s="5" t="n">
        <v>3360</v>
      </c>
      <c r="F44" s="5" t="n">
        <v>68077.53999999999</v>
      </c>
      <c r="G44" s="5" t="n">
        <v>88.2</v>
      </c>
      <c r="H44" s="5" t="n">
        <v>4</v>
      </c>
      <c r="I44" s="5" t="n">
        <v>0.128</v>
      </c>
      <c r="J44" s="5" t="n">
        <v>1</v>
      </c>
      <c r="K44" s="5">
        <f>IF(B44="High Street",1,0)</f>
        <v/>
      </c>
      <c r="L44" s="5">
        <f>IF(B44="Airport",1,0)</f>
        <v/>
      </c>
      <c r="M44" s="5">
        <f>IF(B44="Mall",1,0)</f>
        <v/>
      </c>
      <c r="N44" s="44">
        <f>$U$3+$U$4*E44+$U$5*F44+$U$6*G44+$U$7*H44+$U$8*I44+$U$9*J44+$U$10*K44+$U$11*L44+$U$12*M44</f>
        <v/>
      </c>
      <c r="O44" s="44">
        <f>D44-N44</f>
        <v/>
      </c>
      <c r="P44" s="44">
        <f>ABS(O44)</f>
        <v/>
      </c>
      <c r="Q44" s="5">
        <f>RANK(P44,$P$3:$P$308,1)</f>
        <v/>
      </c>
      <c r="R44" s="5">
        <f>IF(O44&gt;0,"Over-predicted","Under-predicted")</f>
        <v/>
      </c>
    </row>
    <row r="45">
      <c r="A45" s="6" t="inlineStr">
        <is>
          <t>STR-1011</t>
        </is>
      </c>
      <c r="B45" s="6" t="inlineStr">
        <is>
          <t>Mall</t>
        </is>
      </c>
      <c r="C45" s="6" t="inlineStr">
        <is>
          <t>East</t>
        </is>
      </c>
      <c r="D45" s="45" t="n">
        <v>605178</v>
      </c>
      <c r="E45" s="8" t="n">
        <v>3642</v>
      </c>
      <c r="F45" s="8" t="n">
        <v>64882.14</v>
      </c>
      <c r="G45" s="8" t="n">
        <v>87.8</v>
      </c>
      <c r="H45" s="8" t="n">
        <v>4.2</v>
      </c>
      <c r="I45" s="8" t="n">
        <v>0.019</v>
      </c>
      <c r="J45" s="8" t="n">
        <v>0</v>
      </c>
      <c r="K45" s="8">
        <f>IF(B45="High Street",1,0)</f>
        <v/>
      </c>
      <c r="L45" s="8">
        <f>IF(B45="Airport",1,0)</f>
        <v/>
      </c>
      <c r="M45" s="8">
        <f>IF(B45="Mall",1,0)</f>
        <v/>
      </c>
      <c r="N45" s="45">
        <f>$U$3+$U$4*E45+$U$5*F45+$U$6*G45+$U$7*H45+$U$8*I45+$U$9*J45+$U$10*K45+$U$11*L45+$U$12*M45</f>
        <v/>
      </c>
      <c r="O45" s="45">
        <f>D45-N45</f>
        <v/>
      </c>
      <c r="P45" s="45">
        <f>ABS(O45)</f>
        <v/>
      </c>
      <c r="Q45" s="8">
        <f>RANK(P45,$P$3:$P$308,1)</f>
        <v/>
      </c>
      <c r="R45" s="8">
        <f>IF(O45&gt;0,"Over-predicted","Under-predicted")</f>
        <v/>
      </c>
    </row>
    <row r="46">
      <c r="A46" s="2" t="inlineStr">
        <is>
          <t>STR-1012</t>
        </is>
      </c>
      <c r="B46" s="2" t="inlineStr">
        <is>
          <t>Residential</t>
        </is>
      </c>
      <c r="C46" s="2" t="inlineStr">
        <is>
          <t>West</t>
        </is>
      </c>
      <c r="D46" s="44" t="n">
        <v>595467.6</v>
      </c>
      <c r="E46" s="5" t="n">
        <v>5145</v>
      </c>
      <c r="F46" s="5" t="n">
        <v>138855.51</v>
      </c>
      <c r="G46" s="5" t="n">
        <v>88.2</v>
      </c>
      <c r="H46" s="5" t="n">
        <v>3.2</v>
      </c>
      <c r="I46" s="5" t="n">
        <v>0.06</v>
      </c>
      <c r="J46" s="5" t="n">
        <v>0</v>
      </c>
      <c r="K46" s="5">
        <f>IF(B46="High Street",1,0)</f>
        <v/>
      </c>
      <c r="L46" s="5">
        <f>IF(B46="Airport",1,0)</f>
        <v/>
      </c>
      <c r="M46" s="5">
        <f>IF(B46="Mall",1,0)</f>
        <v/>
      </c>
      <c r="N46" s="44">
        <f>$U$3+$U$4*E46+$U$5*F46+$U$6*G46+$U$7*H46+$U$8*I46+$U$9*J46+$U$10*K46+$U$11*L46+$U$12*M46</f>
        <v/>
      </c>
      <c r="O46" s="44">
        <f>D46-N46</f>
        <v/>
      </c>
      <c r="P46" s="44">
        <f>ABS(O46)</f>
        <v/>
      </c>
      <c r="Q46" s="5">
        <f>RANK(P46,$P$3:$P$308,1)</f>
        <v/>
      </c>
      <c r="R46" s="5">
        <f>IF(O46&gt;0,"Over-predicted","Under-predicted")</f>
        <v/>
      </c>
    </row>
    <row r="47">
      <c r="A47" s="6" t="inlineStr">
        <is>
          <t>STR-1012</t>
        </is>
      </c>
      <c r="B47" s="6" t="inlineStr">
        <is>
          <t>Residential</t>
        </is>
      </c>
      <c r="C47" s="6" t="inlineStr">
        <is>
          <t>West</t>
        </is>
      </c>
      <c r="D47" s="45" t="n">
        <v>599603.4</v>
      </c>
      <c r="E47" s="8" t="n">
        <v>4460</v>
      </c>
      <c r="F47" s="8" t="n">
        <v>63630.21</v>
      </c>
      <c r="G47" s="8" t="n">
        <v>98.59999999999999</v>
      </c>
      <c r="H47" s="8" t="n">
        <v>3.5</v>
      </c>
      <c r="I47" s="8" t="n">
        <v>0.235</v>
      </c>
      <c r="J47" s="8" t="n">
        <v>0</v>
      </c>
      <c r="K47" s="8">
        <f>IF(B47="High Street",1,0)</f>
        <v/>
      </c>
      <c r="L47" s="8">
        <f>IF(B47="Airport",1,0)</f>
        <v/>
      </c>
      <c r="M47" s="8">
        <f>IF(B47="Mall",1,0)</f>
        <v/>
      </c>
      <c r="N47" s="45">
        <f>$U$3+$U$4*E47+$U$5*F47+$U$6*G47+$U$7*H47+$U$8*I47+$U$9*J47+$U$10*K47+$U$11*L47+$U$12*M47</f>
        <v/>
      </c>
      <c r="O47" s="45">
        <f>D47-N47</f>
        <v/>
      </c>
      <c r="P47" s="45">
        <f>ABS(O47)</f>
        <v/>
      </c>
      <c r="Q47" s="8">
        <f>RANK(P47,$P$3:$P$308,1)</f>
        <v/>
      </c>
      <c r="R47" s="8">
        <f>IF(O47&gt;0,"Over-predicted","Under-predicted")</f>
        <v/>
      </c>
    </row>
    <row r="48">
      <c r="A48" s="2" t="inlineStr">
        <is>
          <t>STR-1012</t>
        </is>
      </c>
      <c r="B48" s="2" t="inlineStr">
        <is>
          <t>Residential</t>
        </is>
      </c>
      <c r="C48" s="2" t="inlineStr">
        <is>
          <t>West</t>
        </is>
      </c>
      <c r="D48" s="44" t="n">
        <v>614800.09</v>
      </c>
      <c r="E48" s="5" t="n">
        <v>3804</v>
      </c>
      <c r="F48" s="5" t="n">
        <v>50043.65</v>
      </c>
      <c r="G48" s="5" t="n">
        <v>90.90000000000001</v>
      </c>
      <c r="H48" s="5" t="n">
        <v>3.2</v>
      </c>
      <c r="I48" s="5" t="n">
        <v>0.113</v>
      </c>
      <c r="J48" s="5" t="n">
        <v>1</v>
      </c>
      <c r="K48" s="5">
        <f>IF(B48="High Street",1,0)</f>
        <v/>
      </c>
      <c r="L48" s="5">
        <f>IF(B48="Airport",1,0)</f>
        <v/>
      </c>
      <c r="M48" s="5">
        <f>IF(B48="Mall",1,0)</f>
        <v/>
      </c>
      <c r="N48" s="44">
        <f>$U$3+$U$4*E48+$U$5*F48+$U$6*G48+$U$7*H48+$U$8*I48+$U$9*J48+$U$10*K48+$U$11*L48+$U$12*M48</f>
        <v/>
      </c>
      <c r="O48" s="44">
        <f>D48-N48</f>
        <v/>
      </c>
      <c r="P48" s="44">
        <f>ABS(O48)</f>
        <v/>
      </c>
      <c r="Q48" s="5">
        <f>RANK(P48,$P$3:$P$308,1)</f>
        <v/>
      </c>
      <c r="R48" s="5">
        <f>IF(O48&gt;0,"Over-predicted","Under-predicted")</f>
        <v/>
      </c>
    </row>
    <row r="49">
      <c r="A49" s="6" t="inlineStr">
        <is>
          <t>STR-1012</t>
        </is>
      </c>
      <c r="B49" s="6" t="inlineStr">
        <is>
          <t>Residential</t>
        </is>
      </c>
      <c r="C49" s="6" t="inlineStr">
        <is>
          <t>West</t>
        </is>
      </c>
      <c r="D49" s="45" t="n">
        <v>585365.73</v>
      </c>
      <c r="E49" s="8" t="n">
        <v>4074</v>
      </c>
      <c r="F49" s="8" t="n">
        <v>42093.84</v>
      </c>
      <c r="G49" s="8" t="n">
        <v>88</v>
      </c>
      <c r="H49" s="8" t="n">
        <v>3.3</v>
      </c>
      <c r="I49" s="8" t="n">
        <v>0.155</v>
      </c>
      <c r="J49" s="8" t="n">
        <v>0</v>
      </c>
      <c r="K49" s="8">
        <f>IF(B49="High Street",1,0)</f>
        <v/>
      </c>
      <c r="L49" s="8">
        <f>IF(B49="Airport",1,0)</f>
        <v/>
      </c>
      <c r="M49" s="8">
        <f>IF(B49="Mall",1,0)</f>
        <v/>
      </c>
      <c r="N49" s="45">
        <f>$U$3+$U$4*E49+$U$5*F49+$U$6*G49+$U$7*H49+$U$8*I49+$U$9*J49+$U$10*K49+$U$11*L49+$U$12*M49</f>
        <v/>
      </c>
      <c r="O49" s="45">
        <f>D49-N49</f>
        <v/>
      </c>
      <c r="P49" s="45">
        <f>ABS(O49)</f>
        <v/>
      </c>
      <c r="Q49" s="8">
        <f>RANK(P49,$P$3:$P$308,1)</f>
        <v/>
      </c>
      <c r="R49" s="8">
        <f>IF(O49&gt;0,"Over-predicted","Under-predicted")</f>
        <v/>
      </c>
    </row>
    <row r="50">
      <c r="A50" s="2" t="inlineStr">
        <is>
          <t>STR-1013</t>
        </is>
      </c>
      <c r="B50" s="2" t="inlineStr">
        <is>
          <t>Mall</t>
        </is>
      </c>
      <c r="C50" s="2" t="inlineStr">
        <is>
          <t>North</t>
        </is>
      </c>
      <c r="D50" s="44" t="n">
        <v>622811.74</v>
      </c>
      <c r="E50" s="5" t="n">
        <v>5104</v>
      </c>
      <c r="F50" s="5" t="n">
        <v>46624.05</v>
      </c>
      <c r="G50" s="5" t="n">
        <v>97.3</v>
      </c>
      <c r="H50" s="5" t="n">
        <v>4.7</v>
      </c>
      <c r="I50" s="5" t="n">
        <v>0.109</v>
      </c>
      <c r="J50" s="5" t="n">
        <v>1</v>
      </c>
      <c r="K50" s="5">
        <f>IF(B50="High Street",1,0)</f>
        <v/>
      </c>
      <c r="L50" s="5">
        <f>IF(B50="Airport",1,0)</f>
        <v/>
      </c>
      <c r="M50" s="5">
        <f>IF(B50="Mall",1,0)</f>
        <v/>
      </c>
      <c r="N50" s="44">
        <f>$U$3+$U$4*E50+$U$5*F50+$U$6*G50+$U$7*H50+$U$8*I50+$U$9*J50+$U$10*K50+$U$11*L50+$U$12*M50</f>
        <v/>
      </c>
      <c r="O50" s="44">
        <f>D50-N50</f>
        <v/>
      </c>
      <c r="P50" s="44">
        <f>ABS(O50)</f>
        <v/>
      </c>
      <c r="Q50" s="5">
        <f>RANK(P50,$P$3:$P$308,1)</f>
        <v/>
      </c>
      <c r="R50" s="5">
        <f>IF(O50&gt;0,"Over-predicted","Under-predicted")</f>
        <v/>
      </c>
    </row>
    <row r="51">
      <c r="A51" s="6" t="inlineStr">
        <is>
          <t>STR-1013</t>
        </is>
      </c>
      <c r="B51" s="6" t="inlineStr">
        <is>
          <t>Mall</t>
        </is>
      </c>
      <c r="C51" s="6" t="inlineStr">
        <is>
          <t>North</t>
        </is>
      </c>
      <c r="D51" s="45" t="n">
        <v>603297.5699999999</v>
      </c>
      <c r="E51" s="8" t="n">
        <v>5559</v>
      </c>
      <c r="F51" s="8" t="n">
        <v>49710.29</v>
      </c>
      <c r="G51" s="8" t="n">
        <v>71</v>
      </c>
      <c r="H51" s="8" t="n">
        <v>4.6</v>
      </c>
      <c r="I51" s="8" t="n">
        <v>0.218</v>
      </c>
      <c r="J51" s="8" t="n">
        <v>0</v>
      </c>
      <c r="K51" s="8">
        <f>IF(B51="High Street",1,0)</f>
        <v/>
      </c>
      <c r="L51" s="8">
        <f>IF(B51="Airport",1,0)</f>
        <v/>
      </c>
      <c r="M51" s="8">
        <f>IF(B51="Mall",1,0)</f>
        <v/>
      </c>
      <c r="N51" s="45">
        <f>$U$3+$U$4*E51+$U$5*F51+$U$6*G51+$U$7*H51+$U$8*I51+$U$9*J51+$U$10*K51+$U$11*L51+$U$12*M51</f>
        <v/>
      </c>
      <c r="O51" s="45">
        <f>D51-N51</f>
        <v/>
      </c>
      <c r="P51" s="45">
        <f>ABS(O51)</f>
        <v/>
      </c>
      <c r="Q51" s="8">
        <f>RANK(P51,$P$3:$P$308,1)</f>
        <v/>
      </c>
      <c r="R51" s="8">
        <f>IF(O51&gt;0,"Over-predicted","Under-predicted")</f>
        <v/>
      </c>
    </row>
    <row r="52">
      <c r="A52" s="2" t="inlineStr">
        <is>
          <t>STR-1013</t>
        </is>
      </c>
      <c r="B52" s="2" t="inlineStr">
        <is>
          <t>Mall</t>
        </is>
      </c>
      <c r="C52" s="2" t="inlineStr">
        <is>
          <t>North</t>
        </is>
      </c>
      <c r="D52" s="44" t="n">
        <v>625672.86</v>
      </c>
      <c r="E52" s="5" t="n">
        <v>5150</v>
      </c>
      <c r="F52" s="5" t="n">
        <v>48287.85</v>
      </c>
      <c r="G52" s="5" t="n">
        <v>80.40000000000001</v>
      </c>
      <c r="H52" s="5" t="n">
        <v>4.5</v>
      </c>
      <c r="I52" s="5" t="n">
        <v>0.008</v>
      </c>
      <c r="J52" s="5" t="n">
        <v>0</v>
      </c>
      <c r="K52" s="5">
        <f>IF(B52="High Street",1,0)</f>
        <v/>
      </c>
      <c r="L52" s="5">
        <f>IF(B52="Airport",1,0)</f>
        <v/>
      </c>
      <c r="M52" s="5">
        <f>IF(B52="Mall",1,0)</f>
        <v/>
      </c>
      <c r="N52" s="44">
        <f>$U$3+$U$4*E52+$U$5*F52+$U$6*G52+$U$7*H52+$U$8*I52+$U$9*J52+$U$10*K52+$U$11*L52+$U$12*M52</f>
        <v/>
      </c>
      <c r="O52" s="44">
        <f>D52-N52</f>
        <v/>
      </c>
      <c r="P52" s="44">
        <f>ABS(O52)</f>
        <v/>
      </c>
      <c r="Q52" s="5">
        <f>RANK(P52,$P$3:$P$308,1)</f>
        <v/>
      </c>
      <c r="R52" s="5">
        <f>IF(O52&gt;0,"Over-predicted","Under-predicted")</f>
        <v/>
      </c>
    </row>
    <row r="53">
      <c r="A53" s="6" t="inlineStr">
        <is>
          <t>STR-1013</t>
        </is>
      </c>
      <c r="B53" s="6" t="inlineStr">
        <is>
          <t>Mall</t>
        </is>
      </c>
      <c r="C53" s="6" t="inlineStr">
        <is>
          <t>North</t>
        </is>
      </c>
      <c r="D53" s="45" t="n">
        <v>773815.14</v>
      </c>
      <c r="E53" s="8" t="n">
        <v>7189</v>
      </c>
      <c r="F53" s="8" t="n">
        <v>65312.49</v>
      </c>
      <c r="G53" s="8" t="n">
        <v>93.7</v>
      </c>
      <c r="H53" s="8" t="n">
        <v>4.6</v>
      </c>
      <c r="I53" s="8" t="n">
        <v>0.05</v>
      </c>
      <c r="J53" s="8" t="n">
        <v>0</v>
      </c>
      <c r="K53" s="8">
        <f>IF(B53="High Street",1,0)</f>
        <v/>
      </c>
      <c r="L53" s="8">
        <f>IF(B53="Airport",1,0)</f>
        <v/>
      </c>
      <c r="M53" s="8">
        <f>IF(B53="Mall",1,0)</f>
        <v/>
      </c>
      <c r="N53" s="45">
        <f>$U$3+$U$4*E53+$U$5*F53+$U$6*G53+$U$7*H53+$U$8*I53+$U$9*J53+$U$10*K53+$U$11*L53+$U$12*M53</f>
        <v/>
      </c>
      <c r="O53" s="45">
        <f>D53-N53</f>
        <v/>
      </c>
      <c r="P53" s="45">
        <f>ABS(O53)</f>
        <v/>
      </c>
      <c r="Q53" s="8">
        <f>RANK(P53,$P$3:$P$308,1)</f>
        <v/>
      </c>
      <c r="R53" s="8">
        <f>IF(O53&gt;0,"Over-predicted","Under-predicted")</f>
        <v/>
      </c>
    </row>
    <row r="54">
      <c r="A54" s="2" t="inlineStr">
        <is>
          <t>STR-1014</t>
        </is>
      </c>
      <c r="B54" s="2" t="inlineStr">
        <is>
          <t>High Street</t>
        </is>
      </c>
      <c r="C54" s="2" t="inlineStr">
        <is>
          <t>West</t>
        </is>
      </c>
      <c r="D54" s="44" t="n">
        <v>463534.25</v>
      </c>
      <c r="E54" s="5" t="n">
        <v>3279</v>
      </c>
      <c r="F54" s="5" t="n">
        <v>53015.46</v>
      </c>
      <c r="G54" s="5" t="n">
        <v>84.3</v>
      </c>
      <c r="H54" s="5" t="n">
        <v>3.9</v>
      </c>
      <c r="I54" s="5" t="n">
        <v>0.08699999999999999</v>
      </c>
      <c r="J54" s="5" t="n">
        <v>0</v>
      </c>
      <c r="K54" s="5">
        <f>IF(B54="High Street",1,0)</f>
        <v/>
      </c>
      <c r="L54" s="5">
        <f>IF(B54="Airport",1,0)</f>
        <v/>
      </c>
      <c r="M54" s="5">
        <f>IF(B54="Mall",1,0)</f>
        <v/>
      </c>
      <c r="N54" s="44">
        <f>$U$3+$U$4*E54+$U$5*F54+$U$6*G54+$U$7*H54+$U$8*I54+$U$9*J54+$U$10*K54+$U$11*L54+$U$12*M54</f>
        <v/>
      </c>
      <c r="O54" s="44">
        <f>D54-N54</f>
        <v/>
      </c>
      <c r="P54" s="44">
        <f>ABS(O54)</f>
        <v/>
      </c>
      <c r="Q54" s="5">
        <f>RANK(P54,$P$3:$P$308,1)</f>
        <v/>
      </c>
      <c r="R54" s="5">
        <f>IF(O54&gt;0,"Over-predicted","Under-predicted")</f>
        <v/>
      </c>
    </row>
    <row r="55">
      <c r="A55" s="6" t="inlineStr">
        <is>
          <t>STR-1014</t>
        </is>
      </c>
      <c r="B55" s="6" t="inlineStr">
        <is>
          <t>High Street</t>
        </is>
      </c>
      <c r="C55" s="6" t="inlineStr">
        <is>
          <t>West</t>
        </is>
      </c>
      <c r="D55" s="45" t="n">
        <v>746677.75</v>
      </c>
      <c r="E55" s="8" t="n">
        <v>5887</v>
      </c>
      <c r="F55" s="8" t="n">
        <v>99874.00999999999</v>
      </c>
      <c r="G55" s="8" t="n">
        <v>88.7</v>
      </c>
      <c r="H55" s="8" t="n">
        <v>4.7</v>
      </c>
      <c r="I55" s="8" t="n">
        <v>0.262</v>
      </c>
      <c r="J55" s="8" t="n">
        <v>0</v>
      </c>
      <c r="K55" s="8">
        <f>IF(B55="High Street",1,0)</f>
        <v/>
      </c>
      <c r="L55" s="8">
        <f>IF(B55="Airport",1,0)</f>
        <v/>
      </c>
      <c r="M55" s="8">
        <f>IF(B55="Mall",1,0)</f>
        <v/>
      </c>
      <c r="N55" s="45">
        <f>$U$3+$U$4*E55+$U$5*F55+$U$6*G55+$U$7*H55+$U$8*I55+$U$9*J55+$U$10*K55+$U$11*L55+$U$12*M55</f>
        <v/>
      </c>
      <c r="O55" s="45">
        <f>D55-N55</f>
        <v/>
      </c>
      <c r="P55" s="45">
        <f>ABS(O55)</f>
        <v/>
      </c>
      <c r="Q55" s="8">
        <f>RANK(P55,$P$3:$P$308,1)</f>
        <v/>
      </c>
      <c r="R55" s="8">
        <f>IF(O55&gt;0,"Over-predicted","Under-predicted")</f>
        <v/>
      </c>
    </row>
    <row r="56">
      <c r="A56" s="2" t="inlineStr">
        <is>
          <t>STR-1014</t>
        </is>
      </c>
      <c r="B56" s="2" t="inlineStr">
        <is>
          <t>High Street</t>
        </is>
      </c>
      <c r="C56" s="2" t="inlineStr">
        <is>
          <t>West</t>
        </is>
      </c>
      <c r="D56" s="44" t="n">
        <v>720852.5</v>
      </c>
      <c r="E56" s="5" t="n">
        <v>5516</v>
      </c>
      <c r="F56" s="5" t="n">
        <v>81195.5</v>
      </c>
      <c r="G56" s="5" t="n">
        <v>88</v>
      </c>
      <c r="H56" s="5" t="n">
        <v>4.3</v>
      </c>
      <c r="I56" s="5" t="n">
        <v>0.106</v>
      </c>
      <c r="J56" s="5" t="n">
        <v>0</v>
      </c>
      <c r="K56" s="5">
        <f>IF(B56="High Street",1,0)</f>
        <v/>
      </c>
      <c r="L56" s="5">
        <f>IF(B56="Airport",1,0)</f>
        <v/>
      </c>
      <c r="M56" s="5">
        <f>IF(B56="Mall",1,0)</f>
        <v/>
      </c>
      <c r="N56" s="44">
        <f>$U$3+$U$4*E56+$U$5*F56+$U$6*G56+$U$7*H56+$U$8*I56+$U$9*J56+$U$10*K56+$U$11*L56+$U$12*M56</f>
        <v/>
      </c>
      <c r="O56" s="44">
        <f>D56-N56</f>
        <v/>
      </c>
      <c r="P56" s="44">
        <f>ABS(O56)</f>
        <v/>
      </c>
      <c r="Q56" s="5">
        <f>RANK(P56,$P$3:$P$308,1)</f>
        <v/>
      </c>
      <c r="R56" s="5">
        <f>IF(O56&gt;0,"Over-predicted","Under-predicted")</f>
        <v/>
      </c>
    </row>
    <row r="57">
      <c r="A57" s="6" t="inlineStr">
        <is>
          <t>STR-1014</t>
        </is>
      </c>
      <c r="B57" s="6" t="inlineStr">
        <is>
          <t>High Street</t>
        </is>
      </c>
      <c r="C57" s="6" t="inlineStr">
        <is>
          <t>West</t>
        </is>
      </c>
      <c r="D57" s="45" t="n">
        <v>487464.91</v>
      </c>
      <c r="E57" s="8" t="n">
        <v>2863</v>
      </c>
      <c r="F57" s="8" t="n">
        <v>27808.6</v>
      </c>
      <c r="G57" s="8" t="n">
        <v>89.3</v>
      </c>
      <c r="H57" s="8" t="n">
        <v>4.1</v>
      </c>
      <c r="I57" s="8" t="n">
        <v>0.08</v>
      </c>
      <c r="J57" s="8" t="n">
        <v>0</v>
      </c>
      <c r="K57" s="8">
        <f>IF(B57="High Street",1,0)</f>
        <v/>
      </c>
      <c r="L57" s="8">
        <f>IF(B57="Airport",1,0)</f>
        <v/>
      </c>
      <c r="M57" s="8">
        <f>IF(B57="Mall",1,0)</f>
        <v/>
      </c>
      <c r="N57" s="45">
        <f>$U$3+$U$4*E57+$U$5*F57+$U$6*G57+$U$7*H57+$U$8*I57+$U$9*J57+$U$10*K57+$U$11*L57+$U$12*M57</f>
        <v/>
      </c>
      <c r="O57" s="45">
        <f>D57-N57</f>
        <v/>
      </c>
      <c r="P57" s="45">
        <f>ABS(O57)</f>
        <v/>
      </c>
      <c r="Q57" s="8">
        <f>RANK(P57,$P$3:$P$308,1)</f>
        <v/>
      </c>
      <c r="R57" s="8">
        <f>IF(O57&gt;0,"Over-predicted","Under-predicted")</f>
        <v/>
      </c>
    </row>
    <row r="58">
      <c r="A58" s="2" t="inlineStr">
        <is>
          <t>STR-1015</t>
        </is>
      </c>
      <c r="B58" s="2" t="inlineStr">
        <is>
          <t>Airport</t>
        </is>
      </c>
      <c r="C58" s="2" t="inlineStr">
        <is>
          <t>East</t>
        </is>
      </c>
      <c r="D58" s="44" t="n">
        <v>518049.26</v>
      </c>
      <c r="E58" s="5" t="n">
        <v>2378</v>
      </c>
      <c r="F58" s="5" t="n">
        <v>19365.06</v>
      </c>
      <c r="G58" s="5" t="n">
        <v>94.8</v>
      </c>
      <c r="H58" s="5" t="n">
        <v>3.5</v>
      </c>
      <c r="I58" s="5" t="n">
        <v>0</v>
      </c>
      <c r="J58" s="5" t="n">
        <v>0</v>
      </c>
      <c r="K58" s="5">
        <f>IF(B58="High Street",1,0)</f>
        <v/>
      </c>
      <c r="L58" s="5">
        <f>IF(B58="Airport",1,0)</f>
        <v/>
      </c>
      <c r="M58" s="5">
        <f>IF(B58="Mall",1,0)</f>
        <v/>
      </c>
      <c r="N58" s="44">
        <f>$U$3+$U$4*E58+$U$5*F58+$U$6*G58+$U$7*H58+$U$8*I58+$U$9*J58+$U$10*K58+$U$11*L58+$U$12*M58</f>
        <v/>
      </c>
      <c r="O58" s="44">
        <f>D58-N58</f>
        <v/>
      </c>
      <c r="P58" s="44">
        <f>ABS(O58)</f>
        <v/>
      </c>
      <c r="Q58" s="5">
        <f>RANK(P58,$P$3:$P$308,1)</f>
        <v/>
      </c>
      <c r="R58" s="5">
        <f>IF(O58&gt;0,"Over-predicted","Under-predicted")</f>
        <v/>
      </c>
    </row>
    <row r="59">
      <c r="A59" s="6" t="inlineStr">
        <is>
          <t>STR-1015</t>
        </is>
      </c>
      <c r="B59" s="6" t="inlineStr">
        <is>
          <t>Airport</t>
        </is>
      </c>
      <c r="C59" s="6" t="inlineStr">
        <is>
          <t>East</t>
        </is>
      </c>
      <c r="D59" s="45" t="n">
        <v>500298.48</v>
      </c>
      <c r="E59" s="8" t="n">
        <v>2515</v>
      </c>
      <c r="F59" s="8" t="n">
        <v>59405.68</v>
      </c>
      <c r="G59" s="8" t="n">
        <v>76</v>
      </c>
      <c r="H59" s="8" t="n">
        <v>3.7</v>
      </c>
      <c r="I59" s="8" t="n">
        <v>0.039</v>
      </c>
      <c r="J59" s="8" t="n">
        <v>0</v>
      </c>
      <c r="K59" s="8">
        <f>IF(B59="High Street",1,0)</f>
        <v/>
      </c>
      <c r="L59" s="8">
        <f>IF(B59="Airport",1,0)</f>
        <v/>
      </c>
      <c r="M59" s="8">
        <f>IF(B59="Mall",1,0)</f>
        <v/>
      </c>
      <c r="N59" s="45">
        <f>$U$3+$U$4*E59+$U$5*F59+$U$6*G59+$U$7*H59+$U$8*I59+$U$9*J59+$U$10*K59+$U$11*L59+$U$12*M59</f>
        <v/>
      </c>
      <c r="O59" s="45">
        <f>D59-N59</f>
        <v/>
      </c>
      <c r="P59" s="45">
        <f>ABS(O59)</f>
        <v/>
      </c>
      <c r="Q59" s="8">
        <f>RANK(P59,$P$3:$P$308,1)</f>
        <v/>
      </c>
      <c r="R59" s="8">
        <f>IF(O59&gt;0,"Over-predicted","Under-predicted")</f>
        <v/>
      </c>
    </row>
    <row r="60">
      <c r="A60" s="2" t="inlineStr">
        <is>
          <t>STR-1015</t>
        </is>
      </c>
      <c r="B60" s="2" t="inlineStr">
        <is>
          <t>Airport</t>
        </is>
      </c>
      <c r="C60" s="2" t="inlineStr">
        <is>
          <t>East</t>
        </is>
      </c>
      <c r="D60" s="44" t="n">
        <v>617291.15</v>
      </c>
      <c r="E60" s="5" t="n">
        <v>4022</v>
      </c>
      <c r="F60" s="5" t="n">
        <v>118910.48</v>
      </c>
      <c r="G60" s="5" t="n">
        <v>87.09999999999999</v>
      </c>
      <c r="H60" s="5" t="n">
        <v>3.1</v>
      </c>
      <c r="I60" s="5" t="n">
        <v>0.137</v>
      </c>
      <c r="J60" s="5" t="n">
        <v>0</v>
      </c>
      <c r="K60" s="5">
        <f>IF(B60="High Street",1,0)</f>
        <v/>
      </c>
      <c r="L60" s="5">
        <f>IF(B60="Airport",1,0)</f>
        <v/>
      </c>
      <c r="M60" s="5">
        <f>IF(B60="Mall",1,0)</f>
        <v/>
      </c>
      <c r="N60" s="44">
        <f>$U$3+$U$4*E60+$U$5*F60+$U$6*G60+$U$7*H60+$U$8*I60+$U$9*J60+$U$10*K60+$U$11*L60+$U$12*M60</f>
        <v/>
      </c>
      <c r="O60" s="44">
        <f>D60-N60</f>
        <v/>
      </c>
      <c r="P60" s="44">
        <f>ABS(O60)</f>
        <v/>
      </c>
      <c r="Q60" s="5">
        <f>RANK(P60,$P$3:$P$308,1)</f>
        <v/>
      </c>
      <c r="R60" s="5">
        <f>IF(O60&gt;0,"Over-predicted","Under-predicted")</f>
        <v/>
      </c>
    </row>
    <row r="61">
      <c r="A61" s="6" t="inlineStr">
        <is>
          <t>STR-1015</t>
        </is>
      </c>
      <c r="B61" s="6" t="inlineStr">
        <is>
          <t>Airport</t>
        </is>
      </c>
      <c r="C61" s="6" t="inlineStr">
        <is>
          <t>East</t>
        </is>
      </c>
      <c r="D61" s="45" t="n">
        <v>553756.4300000001</v>
      </c>
      <c r="E61" s="8" t="n">
        <v>4377</v>
      </c>
      <c r="F61" s="8" t="n">
        <v>52952.12</v>
      </c>
      <c r="G61" s="8" t="n">
        <v>88.59999999999999</v>
      </c>
      <c r="H61" s="8" t="n">
        <v>3.1</v>
      </c>
      <c r="I61" s="8" t="n">
        <v>0.092</v>
      </c>
      <c r="J61" s="8" t="n">
        <v>0</v>
      </c>
      <c r="K61" s="8">
        <f>IF(B61="High Street",1,0)</f>
        <v/>
      </c>
      <c r="L61" s="8">
        <f>IF(B61="Airport",1,0)</f>
        <v/>
      </c>
      <c r="M61" s="8">
        <f>IF(B61="Mall",1,0)</f>
        <v/>
      </c>
      <c r="N61" s="45">
        <f>$U$3+$U$4*E61+$U$5*F61+$U$6*G61+$U$7*H61+$U$8*I61+$U$9*J61+$U$10*K61+$U$11*L61+$U$12*M61</f>
        <v/>
      </c>
      <c r="O61" s="45">
        <f>D61-N61</f>
        <v/>
      </c>
      <c r="P61" s="45">
        <f>ABS(O61)</f>
        <v/>
      </c>
      <c r="Q61" s="8">
        <f>RANK(P61,$P$3:$P$308,1)</f>
        <v/>
      </c>
      <c r="R61" s="8">
        <f>IF(O61&gt;0,"Over-predicted","Under-predicted")</f>
        <v/>
      </c>
    </row>
    <row r="62">
      <c r="A62" s="2" t="inlineStr">
        <is>
          <t>STR-1016</t>
        </is>
      </c>
      <c r="B62" s="2" t="inlineStr">
        <is>
          <t>High Street</t>
        </is>
      </c>
      <c r="C62" s="2" t="inlineStr">
        <is>
          <t>South</t>
        </is>
      </c>
      <c r="D62" s="44" t="n">
        <v>749559.71</v>
      </c>
      <c r="E62" s="5" t="n">
        <v>5306</v>
      </c>
      <c r="F62" s="5" t="n">
        <v>74907.98</v>
      </c>
      <c r="G62" s="5" t="n">
        <v>95.59999999999999</v>
      </c>
      <c r="H62" s="5" t="n">
        <v>3.7</v>
      </c>
      <c r="I62" s="5" t="n">
        <v>0.062</v>
      </c>
      <c r="J62" s="5" t="n">
        <v>0</v>
      </c>
      <c r="K62" s="5">
        <f>IF(B62="High Street",1,0)</f>
        <v/>
      </c>
      <c r="L62" s="5">
        <f>IF(B62="Airport",1,0)</f>
        <v/>
      </c>
      <c r="M62" s="5">
        <f>IF(B62="Mall",1,0)</f>
        <v/>
      </c>
      <c r="N62" s="44">
        <f>$U$3+$U$4*E62+$U$5*F62+$U$6*G62+$U$7*H62+$U$8*I62+$U$9*J62+$U$10*K62+$U$11*L62+$U$12*M62</f>
        <v/>
      </c>
      <c r="O62" s="44">
        <f>D62-N62</f>
        <v/>
      </c>
      <c r="P62" s="44">
        <f>ABS(O62)</f>
        <v/>
      </c>
      <c r="Q62" s="5">
        <f>RANK(P62,$P$3:$P$308,1)</f>
        <v/>
      </c>
      <c r="R62" s="5">
        <f>IF(O62&gt;0,"Over-predicted","Under-predicted")</f>
        <v/>
      </c>
    </row>
    <row r="63">
      <c r="A63" s="6" t="inlineStr">
        <is>
          <t>STR-1016</t>
        </is>
      </c>
      <c r="B63" s="6" t="inlineStr">
        <is>
          <t>High Street</t>
        </is>
      </c>
      <c r="C63" s="6" t="inlineStr">
        <is>
          <t>South</t>
        </is>
      </c>
      <c r="D63" s="45" t="n">
        <v>615966.48</v>
      </c>
      <c r="E63" s="8" t="n">
        <v>3928</v>
      </c>
      <c r="F63" s="8" t="n">
        <v>37284.66</v>
      </c>
      <c r="G63" s="8" t="n">
        <v>86.5</v>
      </c>
      <c r="H63" s="8" t="n">
        <v>3.8</v>
      </c>
      <c r="I63" s="8" t="n">
        <v>0.074</v>
      </c>
      <c r="J63" s="8" t="n">
        <v>0</v>
      </c>
      <c r="K63" s="8">
        <f>IF(B63="High Street",1,0)</f>
        <v/>
      </c>
      <c r="L63" s="8">
        <f>IF(B63="Airport",1,0)</f>
        <v/>
      </c>
      <c r="M63" s="8">
        <f>IF(B63="Mall",1,0)</f>
        <v/>
      </c>
      <c r="N63" s="45">
        <f>$U$3+$U$4*E63+$U$5*F63+$U$6*G63+$U$7*H63+$U$8*I63+$U$9*J63+$U$10*K63+$U$11*L63+$U$12*M63</f>
        <v/>
      </c>
      <c r="O63" s="45">
        <f>D63-N63</f>
        <v/>
      </c>
      <c r="P63" s="45">
        <f>ABS(O63)</f>
        <v/>
      </c>
      <c r="Q63" s="8">
        <f>RANK(P63,$P$3:$P$308,1)</f>
        <v/>
      </c>
      <c r="R63" s="8">
        <f>IF(O63&gt;0,"Over-predicted","Under-predicted")</f>
        <v/>
      </c>
    </row>
    <row r="64">
      <c r="A64" s="2" t="inlineStr">
        <is>
          <t>STR-1016</t>
        </is>
      </c>
      <c r="B64" s="2" t="inlineStr">
        <is>
          <t>High Street</t>
        </is>
      </c>
      <c r="C64" s="2" t="inlineStr">
        <is>
          <t>South</t>
        </is>
      </c>
      <c r="D64" s="44" t="n">
        <v>572011.2</v>
      </c>
      <c r="E64" s="5" t="n">
        <v>3845</v>
      </c>
      <c r="F64" s="5" t="n">
        <v>50343.19</v>
      </c>
      <c r="G64" s="5" t="n">
        <v>88.7</v>
      </c>
      <c r="H64" s="5" t="n">
        <v>3.3</v>
      </c>
      <c r="I64" s="5" t="n">
        <v>0.113</v>
      </c>
      <c r="J64" s="5" t="n">
        <v>0</v>
      </c>
      <c r="K64" s="5">
        <f>IF(B64="High Street",1,0)</f>
        <v/>
      </c>
      <c r="L64" s="5">
        <f>IF(B64="Airport",1,0)</f>
        <v/>
      </c>
      <c r="M64" s="5">
        <f>IF(B64="Mall",1,0)</f>
        <v/>
      </c>
      <c r="N64" s="44">
        <f>$U$3+$U$4*E64+$U$5*F64+$U$6*G64+$U$7*H64+$U$8*I64+$U$9*J64+$U$10*K64+$U$11*L64+$U$12*M64</f>
        <v/>
      </c>
      <c r="O64" s="44">
        <f>D64-N64</f>
        <v/>
      </c>
      <c r="P64" s="44">
        <f>ABS(O64)</f>
        <v/>
      </c>
      <c r="Q64" s="5">
        <f>RANK(P64,$P$3:$P$308,1)</f>
        <v/>
      </c>
      <c r="R64" s="5">
        <f>IF(O64&gt;0,"Over-predicted","Under-predicted")</f>
        <v/>
      </c>
    </row>
    <row r="65">
      <c r="A65" s="6" t="inlineStr">
        <is>
          <t>STR-1016</t>
        </is>
      </c>
      <c r="B65" s="6" t="inlineStr">
        <is>
          <t>High Street</t>
        </is>
      </c>
      <c r="C65" s="6" t="inlineStr">
        <is>
          <t>South</t>
        </is>
      </c>
      <c r="D65" s="45" t="n">
        <v>761860.1899999999</v>
      </c>
      <c r="E65" s="8" t="n">
        <v>6620</v>
      </c>
      <c r="F65" s="8" t="n">
        <v>74954.47</v>
      </c>
      <c r="G65" s="8" t="n">
        <v>91.09999999999999</v>
      </c>
      <c r="H65" s="8" t="n">
        <v>3.5</v>
      </c>
      <c r="I65" s="8" t="n">
        <v>0.054</v>
      </c>
      <c r="J65" s="8" t="n">
        <v>0</v>
      </c>
      <c r="K65" s="8">
        <f>IF(B65="High Street",1,0)</f>
        <v/>
      </c>
      <c r="L65" s="8">
        <f>IF(B65="Airport",1,0)</f>
        <v/>
      </c>
      <c r="M65" s="8">
        <f>IF(B65="Mall",1,0)</f>
        <v/>
      </c>
      <c r="N65" s="45">
        <f>$U$3+$U$4*E65+$U$5*F65+$U$6*G65+$U$7*H65+$U$8*I65+$U$9*J65+$U$10*K65+$U$11*L65+$U$12*M65</f>
        <v/>
      </c>
      <c r="O65" s="45">
        <f>D65-N65</f>
        <v/>
      </c>
      <c r="P65" s="45">
        <f>ABS(O65)</f>
        <v/>
      </c>
      <c r="Q65" s="8">
        <f>RANK(P65,$P$3:$P$308,1)</f>
        <v/>
      </c>
      <c r="R65" s="8">
        <f>IF(O65&gt;0,"Over-predicted","Under-predicted")</f>
        <v/>
      </c>
    </row>
    <row r="66">
      <c r="A66" s="2" t="inlineStr">
        <is>
          <t>STR-1017</t>
        </is>
      </c>
      <c r="B66" s="2" t="inlineStr">
        <is>
          <t>High Street</t>
        </is>
      </c>
      <c r="C66" s="2" t="inlineStr">
        <is>
          <t>West</t>
        </is>
      </c>
      <c r="D66" s="44" t="n">
        <v>784502.6800000001</v>
      </c>
      <c r="E66" s="5" t="n">
        <v>9175</v>
      </c>
      <c r="F66" s="5" t="n">
        <v>70040.31</v>
      </c>
      <c r="G66" s="5" t="n">
        <v>95.09999999999999</v>
      </c>
      <c r="H66" s="5" t="n">
        <v>3.4</v>
      </c>
      <c r="I66" s="5" t="n">
        <v>0.107</v>
      </c>
      <c r="J66" s="5" t="n">
        <v>1</v>
      </c>
      <c r="K66" s="5">
        <f>IF(B66="High Street",1,0)</f>
        <v/>
      </c>
      <c r="L66" s="5">
        <f>IF(B66="Airport",1,0)</f>
        <v/>
      </c>
      <c r="M66" s="5">
        <f>IF(B66="Mall",1,0)</f>
        <v/>
      </c>
      <c r="N66" s="44">
        <f>$U$3+$U$4*E66+$U$5*F66+$U$6*G66+$U$7*H66+$U$8*I66+$U$9*J66+$U$10*K66+$U$11*L66+$U$12*M66</f>
        <v/>
      </c>
      <c r="O66" s="44">
        <f>D66-N66</f>
        <v/>
      </c>
      <c r="P66" s="44">
        <f>ABS(O66)</f>
        <v/>
      </c>
      <c r="Q66" s="5">
        <f>RANK(P66,$P$3:$P$308,1)</f>
        <v/>
      </c>
      <c r="R66" s="5">
        <f>IF(O66&gt;0,"Over-predicted","Under-predicted")</f>
        <v/>
      </c>
    </row>
    <row r="67">
      <c r="A67" s="6" t="inlineStr">
        <is>
          <t>STR-1017</t>
        </is>
      </c>
      <c r="B67" s="6" t="inlineStr">
        <is>
          <t>High Street</t>
        </is>
      </c>
      <c r="C67" s="6" t="inlineStr">
        <is>
          <t>West</t>
        </is>
      </c>
      <c r="D67" s="45" t="n">
        <v>717141.55</v>
      </c>
      <c r="E67" s="8" t="n">
        <v>7940</v>
      </c>
      <c r="F67" s="8" t="n">
        <v>51148.69</v>
      </c>
      <c r="G67" s="8" t="n">
        <v>93.3</v>
      </c>
      <c r="H67" s="8" t="n">
        <v>3.6</v>
      </c>
      <c r="I67" s="8" t="n">
        <v>0.156</v>
      </c>
      <c r="J67" s="8" t="n">
        <v>0</v>
      </c>
      <c r="K67" s="8">
        <f>IF(B67="High Street",1,0)</f>
        <v/>
      </c>
      <c r="L67" s="8">
        <f>IF(B67="Airport",1,0)</f>
        <v/>
      </c>
      <c r="M67" s="8">
        <f>IF(B67="Mall",1,0)</f>
        <v/>
      </c>
      <c r="N67" s="45">
        <f>$U$3+$U$4*E67+$U$5*F67+$U$6*G67+$U$7*H67+$U$8*I67+$U$9*J67+$U$10*K67+$U$11*L67+$U$12*M67</f>
        <v/>
      </c>
      <c r="O67" s="45">
        <f>D67-N67</f>
        <v/>
      </c>
      <c r="P67" s="45">
        <f>ABS(O67)</f>
        <v/>
      </c>
      <c r="Q67" s="8">
        <f>RANK(P67,$P$3:$P$308,1)</f>
        <v/>
      </c>
      <c r="R67" s="8">
        <f>IF(O67&gt;0,"Over-predicted","Under-predicted")</f>
        <v/>
      </c>
    </row>
    <row r="68">
      <c r="A68" s="2" t="inlineStr">
        <is>
          <t>STR-1017</t>
        </is>
      </c>
      <c r="B68" s="2" t="inlineStr">
        <is>
          <t>High Street</t>
        </is>
      </c>
      <c r="C68" s="2" t="inlineStr">
        <is>
          <t>West</t>
        </is>
      </c>
      <c r="D68" s="44" t="n">
        <v>685379.08</v>
      </c>
      <c r="E68" s="5" t="n">
        <v>9628</v>
      </c>
      <c r="F68" s="5" t="n">
        <v>79346.10000000001</v>
      </c>
      <c r="G68" s="5" t="n">
        <v>99</v>
      </c>
      <c r="H68" s="5" t="n">
        <v>3.2</v>
      </c>
      <c r="I68" s="5" t="n">
        <v>0.102</v>
      </c>
      <c r="J68" s="5" t="n">
        <v>1</v>
      </c>
      <c r="K68" s="5">
        <f>IF(B68="High Street",1,0)</f>
        <v/>
      </c>
      <c r="L68" s="5">
        <f>IF(B68="Airport",1,0)</f>
        <v/>
      </c>
      <c r="M68" s="5">
        <f>IF(B68="Mall",1,0)</f>
        <v/>
      </c>
      <c r="N68" s="44">
        <f>$U$3+$U$4*E68+$U$5*F68+$U$6*G68+$U$7*H68+$U$8*I68+$U$9*J68+$U$10*K68+$U$11*L68+$U$12*M68</f>
        <v/>
      </c>
      <c r="O68" s="44">
        <f>D68-N68</f>
        <v/>
      </c>
      <c r="P68" s="44">
        <f>ABS(O68)</f>
        <v/>
      </c>
      <c r="Q68" s="5">
        <f>RANK(P68,$P$3:$P$308,1)</f>
        <v/>
      </c>
      <c r="R68" s="5">
        <f>IF(O68&gt;0,"Over-predicted","Under-predicted")</f>
        <v/>
      </c>
    </row>
    <row r="69">
      <c r="A69" s="6" t="inlineStr">
        <is>
          <t>STR-1017</t>
        </is>
      </c>
      <c r="B69" s="6" t="inlineStr">
        <is>
          <t>High Street</t>
        </is>
      </c>
      <c r="C69" s="6" t="inlineStr">
        <is>
          <t>West</t>
        </is>
      </c>
      <c r="D69" s="45" t="n">
        <v>740496.65</v>
      </c>
      <c r="E69" s="8" t="n">
        <v>8296</v>
      </c>
      <c r="F69" s="8" t="n">
        <v>42018.4</v>
      </c>
      <c r="G69" s="8" t="n">
        <v>91.8</v>
      </c>
      <c r="H69" s="8" t="n">
        <v>3.4</v>
      </c>
      <c r="I69" s="8" t="n">
        <v>0.115</v>
      </c>
      <c r="J69" s="8" t="n">
        <v>0</v>
      </c>
      <c r="K69" s="8">
        <f>IF(B69="High Street",1,0)</f>
        <v/>
      </c>
      <c r="L69" s="8">
        <f>IF(B69="Airport",1,0)</f>
        <v/>
      </c>
      <c r="M69" s="8">
        <f>IF(B69="Mall",1,0)</f>
        <v/>
      </c>
      <c r="N69" s="45">
        <f>$U$3+$U$4*E69+$U$5*F69+$U$6*G69+$U$7*H69+$U$8*I69+$U$9*J69+$U$10*K69+$U$11*L69+$U$12*M69</f>
        <v/>
      </c>
      <c r="O69" s="45">
        <f>D69-N69</f>
        <v/>
      </c>
      <c r="P69" s="45">
        <f>ABS(O69)</f>
        <v/>
      </c>
      <c r="Q69" s="8">
        <f>RANK(P69,$P$3:$P$308,1)</f>
        <v/>
      </c>
      <c r="R69" s="8">
        <f>IF(O69&gt;0,"Over-predicted","Under-predicted")</f>
        <v/>
      </c>
    </row>
    <row r="70">
      <c r="A70" s="2" t="inlineStr">
        <is>
          <t>STR-1018</t>
        </is>
      </c>
      <c r="B70" s="2" t="inlineStr">
        <is>
          <t>High Street</t>
        </is>
      </c>
      <c r="C70" s="2" t="inlineStr">
        <is>
          <t>East</t>
        </is>
      </c>
      <c r="D70" s="44" t="n">
        <v>661927.14</v>
      </c>
      <c r="E70" s="5" t="n">
        <v>3595</v>
      </c>
      <c r="F70" s="5" t="n">
        <v>70937.24000000001</v>
      </c>
      <c r="G70" s="5" t="n">
        <v>88.90000000000001</v>
      </c>
      <c r="H70" s="5" t="n">
        <v>3.3</v>
      </c>
      <c r="I70" s="5" t="n">
        <v>0.141</v>
      </c>
      <c r="J70" s="5" t="n">
        <v>1</v>
      </c>
      <c r="K70" s="5">
        <f>IF(B70="High Street",1,0)</f>
        <v/>
      </c>
      <c r="L70" s="5">
        <f>IF(B70="Airport",1,0)</f>
        <v/>
      </c>
      <c r="M70" s="5">
        <f>IF(B70="Mall",1,0)</f>
        <v/>
      </c>
      <c r="N70" s="44">
        <f>$U$3+$U$4*E70+$U$5*F70+$U$6*G70+$U$7*H70+$U$8*I70+$U$9*J70+$U$10*K70+$U$11*L70+$U$12*M70</f>
        <v/>
      </c>
      <c r="O70" s="44">
        <f>D70-N70</f>
        <v/>
      </c>
      <c r="P70" s="44">
        <f>ABS(O70)</f>
        <v/>
      </c>
      <c r="Q70" s="5">
        <f>RANK(P70,$P$3:$P$308,1)</f>
        <v/>
      </c>
      <c r="R70" s="5">
        <f>IF(O70&gt;0,"Over-predicted","Under-predicted")</f>
        <v/>
      </c>
    </row>
    <row r="71">
      <c r="A71" s="6" t="inlineStr">
        <is>
          <t>STR-1018</t>
        </is>
      </c>
      <c r="B71" s="6" t="inlineStr">
        <is>
          <t>High Street</t>
        </is>
      </c>
      <c r="C71" s="6" t="inlineStr">
        <is>
          <t>East</t>
        </is>
      </c>
      <c r="D71" s="45" t="n">
        <v>479050.5</v>
      </c>
      <c r="E71" s="8" t="n">
        <v>2834</v>
      </c>
      <c r="F71" s="8" t="n">
        <v>36813.45</v>
      </c>
      <c r="G71" s="8" t="n">
        <v>81.8</v>
      </c>
      <c r="H71" s="8" t="n">
        <v>3.3</v>
      </c>
      <c r="I71" s="8" t="n">
        <v>0.191</v>
      </c>
      <c r="J71" s="8" t="n">
        <v>0</v>
      </c>
      <c r="K71" s="8">
        <f>IF(B71="High Street",1,0)</f>
        <v/>
      </c>
      <c r="L71" s="8">
        <f>IF(B71="Airport",1,0)</f>
        <v/>
      </c>
      <c r="M71" s="8">
        <f>IF(B71="Mall",1,0)</f>
        <v/>
      </c>
      <c r="N71" s="45">
        <f>$U$3+$U$4*E71+$U$5*F71+$U$6*G71+$U$7*H71+$U$8*I71+$U$9*J71+$U$10*K71+$U$11*L71+$U$12*M71</f>
        <v/>
      </c>
      <c r="O71" s="45">
        <f>D71-N71</f>
        <v/>
      </c>
      <c r="P71" s="45">
        <f>ABS(O71)</f>
        <v/>
      </c>
      <c r="Q71" s="8">
        <f>RANK(P71,$P$3:$P$308,1)</f>
        <v/>
      </c>
      <c r="R71" s="8">
        <f>IF(O71&gt;0,"Over-predicted","Under-predicted")</f>
        <v/>
      </c>
    </row>
    <row r="72">
      <c r="A72" s="2" t="inlineStr">
        <is>
          <t>STR-1018</t>
        </is>
      </c>
      <c r="B72" s="2" t="inlineStr">
        <is>
          <t>High Street</t>
        </is>
      </c>
      <c r="C72" s="2" t="inlineStr">
        <is>
          <t>East</t>
        </is>
      </c>
      <c r="D72" s="44" t="n">
        <v>605023.87</v>
      </c>
      <c r="E72" s="5" t="n">
        <v>3193</v>
      </c>
      <c r="F72" s="5" t="n">
        <v>60571.82</v>
      </c>
      <c r="G72" s="5" t="n">
        <v>99</v>
      </c>
      <c r="H72" s="5" t="n">
        <v>3.2</v>
      </c>
      <c r="I72" s="5" t="n">
        <v>0.197</v>
      </c>
      <c r="J72" s="5" t="n">
        <v>0</v>
      </c>
      <c r="K72" s="5">
        <f>IF(B72="High Street",1,0)</f>
        <v/>
      </c>
      <c r="L72" s="5">
        <f>IF(B72="Airport",1,0)</f>
        <v/>
      </c>
      <c r="M72" s="5">
        <f>IF(B72="Mall",1,0)</f>
        <v/>
      </c>
      <c r="N72" s="44">
        <f>$U$3+$U$4*E72+$U$5*F72+$U$6*G72+$U$7*H72+$U$8*I72+$U$9*J72+$U$10*K72+$U$11*L72+$U$12*M72</f>
        <v/>
      </c>
      <c r="O72" s="44">
        <f>D72-N72</f>
        <v/>
      </c>
      <c r="P72" s="44">
        <f>ABS(O72)</f>
        <v/>
      </c>
      <c r="Q72" s="5">
        <f>RANK(P72,$P$3:$P$308,1)</f>
        <v/>
      </c>
      <c r="R72" s="5">
        <f>IF(O72&gt;0,"Over-predicted","Under-predicted")</f>
        <v/>
      </c>
    </row>
    <row r="73">
      <c r="A73" s="6" t="inlineStr">
        <is>
          <t>STR-1019</t>
        </is>
      </c>
      <c r="B73" s="6" t="inlineStr">
        <is>
          <t>Residential</t>
        </is>
      </c>
      <c r="C73" s="6" t="inlineStr">
        <is>
          <t>East</t>
        </is>
      </c>
      <c r="D73" s="45" t="n">
        <v>616069.41</v>
      </c>
      <c r="E73" s="8" t="n">
        <v>5918</v>
      </c>
      <c r="F73" s="8" t="n">
        <v>46201.46</v>
      </c>
      <c r="G73" s="8" t="n">
        <v>78.8</v>
      </c>
      <c r="H73" s="8" t="n">
        <v>4.5</v>
      </c>
      <c r="I73" s="8" t="n">
        <v>0.277</v>
      </c>
      <c r="J73" s="8" t="n">
        <v>0</v>
      </c>
      <c r="K73" s="8">
        <f>IF(B73="High Street",1,0)</f>
        <v/>
      </c>
      <c r="L73" s="8">
        <f>IF(B73="Airport",1,0)</f>
        <v/>
      </c>
      <c r="M73" s="8">
        <f>IF(B73="Mall",1,0)</f>
        <v/>
      </c>
      <c r="N73" s="45">
        <f>$U$3+$U$4*E73+$U$5*F73+$U$6*G73+$U$7*H73+$U$8*I73+$U$9*J73+$U$10*K73+$U$11*L73+$U$12*M73</f>
        <v/>
      </c>
      <c r="O73" s="45">
        <f>D73-N73</f>
        <v/>
      </c>
      <c r="P73" s="45">
        <f>ABS(O73)</f>
        <v/>
      </c>
      <c r="Q73" s="8">
        <f>RANK(P73,$P$3:$P$308,1)</f>
        <v/>
      </c>
      <c r="R73" s="8">
        <f>IF(O73&gt;0,"Over-predicted","Under-predicted")</f>
        <v/>
      </c>
    </row>
    <row r="74">
      <c r="A74" s="2" t="inlineStr">
        <is>
          <t>STR-1019</t>
        </is>
      </c>
      <c r="B74" s="2" t="inlineStr">
        <is>
          <t>Residential</t>
        </is>
      </c>
      <c r="C74" s="2" t="inlineStr">
        <is>
          <t>East</t>
        </is>
      </c>
      <c r="D74" s="44" t="n">
        <v>630829.9399999999</v>
      </c>
      <c r="E74" s="5" t="n">
        <v>6821</v>
      </c>
      <c r="F74" s="5" t="n">
        <v>53762.92</v>
      </c>
      <c r="G74" s="5" t="n">
        <v>94.59999999999999</v>
      </c>
      <c r="H74" s="5" t="n">
        <v>4.4</v>
      </c>
      <c r="I74" s="5" t="n">
        <v>0.066</v>
      </c>
      <c r="J74" s="5" t="n">
        <v>0</v>
      </c>
      <c r="K74" s="5">
        <f>IF(B74="High Street",1,0)</f>
        <v/>
      </c>
      <c r="L74" s="5">
        <f>IF(B74="Airport",1,0)</f>
        <v/>
      </c>
      <c r="M74" s="5">
        <f>IF(B74="Mall",1,0)</f>
        <v/>
      </c>
      <c r="N74" s="44">
        <f>$U$3+$U$4*E74+$U$5*F74+$U$6*G74+$U$7*H74+$U$8*I74+$U$9*J74+$U$10*K74+$U$11*L74+$U$12*M74</f>
        <v/>
      </c>
      <c r="O74" s="44">
        <f>D74-N74</f>
        <v/>
      </c>
      <c r="P74" s="44">
        <f>ABS(O74)</f>
        <v/>
      </c>
      <c r="Q74" s="5">
        <f>RANK(P74,$P$3:$P$308,1)</f>
        <v/>
      </c>
      <c r="R74" s="5">
        <f>IF(O74&gt;0,"Over-predicted","Under-predicted")</f>
        <v/>
      </c>
    </row>
    <row r="75">
      <c r="A75" s="6" t="inlineStr">
        <is>
          <t>STR-1019</t>
        </is>
      </c>
      <c r="B75" s="6" t="inlineStr">
        <is>
          <t>Residential</t>
        </is>
      </c>
      <c r="C75" s="6" t="inlineStr">
        <is>
          <t>East</t>
        </is>
      </c>
      <c r="D75" s="45" t="n">
        <v>788087.6800000001</v>
      </c>
      <c r="E75" s="8" t="n">
        <v>6806</v>
      </c>
      <c r="F75" s="8" t="n">
        <v>70144.78</v>
      </c>
      <c r="G75" s="8" t="n">
        <v>93.09999999999999</v>
      </c>
      <c r="H75" s="8" t="n">
        <v>4.3</v>
      </c>
      <c r="I75" s="8" t="n">
        <v>0.178</v>
      </c>
      <c r="J75" s="8" t="n">
        <v>1</v>
      </c>
      <c r="K75" s="8">
        <f>IF(B75="High Street",1,0)</f>
        <v/>
      </c>
      <c r="L75" s="8">
        <f>IF(B75="Airport",1,0)</f>
        <v/>
      </c>
      <c r="M75" s="8">
        <f>IF(B75="Mall",1,0)</f>
        <v/>
      </c>
      <c r="N75" s="45">
        <f>$U$3+$U$4*E75+$U$5*F75+$U$6*G75+$U$7*H75+$U$8*I75+$U$9*J75+$U$10*K75+$U$11*L75+$U$12*M75</f>
        <v/>
      </c>
      <c r="O75" s="45">
        <f>D75-N75</f>
        <v/>
      </c>
      <c r="P75" s="45">
        <f>ABS(O75)</f>
        <v/>
      </c>
      <c r="Q75" s="8">
        <f>RANK(P75,$P$3:$P$308,1)</f>
        <v/>
      </c>
      <c r="R75" s="8">
        <f>IF(O75&gt;0,"Over-predicted","Under-predicted")</f>
        <v/>
      </c>
    </row>
    <row r="76">
      <c r="A76" s="2" t="inlineStr">
        <is>
          <t>STR-1019</t>
        </is>
      </c>
      <c r="B76" s="2" t="inlineStr">
        <is>
          <t>Residential</t>
        </is>
      </c>
      <c r="C76" s="2" t="inlineStr">
        <is>
          <t>East</t>
        </is>
      </c>
      <c r="D76" s="44" t="n">
        <v>680840.36</v>
      </c>
      <c r="E76" s="5" t="n">
        <v>8252</v>
      </c>
      <c r="F76" s="5" t="n">
        <v>58749.63</v>
      </c>
      <c r="G76" s="5" t="n">
        <v>85.2</v>
      </c>
      <c r="H76" s="5" t="n">
        <v>4.5</v>
      </c>
      <c r="I76" s="5" t="n">
        <v>0.203</v>
      </c>
      <c r="J76" s="5" t="n">
        <v>0</v>
      </c>
      <c r="K76" s="5">
        <f>IF(B76="High Street",1,0)</f>
        <v/>
      </c>
      <c r="L76" s="5">
        <f>IF(B76="Airport",1,0)</f>
        <v/>
      </c>
      <c r="M76" s="5">
        <f>IF(B76="Mall",1,0)</f>
        <v/>
      </c>
      <c r="N76" s="44">
        <f>$U$3+$U$4*E76+$U$5*F76+$U$6*G76+$U$7*H76+$U$8*I76+$U$9*J76+$U$10*K76+$U$11*L76+$U$12*M76</f>
        <v/>
      </c>
      <c r="O76" s="44">
        <f>D76-N76</f>
        <v/>
      </c>
      <c r="P76" s="44">
        <f>ABS(O76)</f>
        <v/>
      </c>
      <c r="Q76" s="5">
        <f>RANK(P76,$P$3:$P$308,1)</f>
        <v/>
      </c>
      <c r="R76" s="5">
        <f>IF(O76&gt;0,"Over-predicted","Under-predicted")</f>
        <v/>
      </c>
    </row>
    <row r="77">
      <c r="A77" s="6" t="inlineStr">
        <is>
          <t>STR-1020</t>
        </is>
      </c>
      <c r="B77" s="6" t="inlineStr">
        <is>
          <t>High Street</t>
        </is>
      </c>
      <c r="C77" s="6" t="inlineStr">
        <is>
          <t>South</t>
        </is>
      </c>
      <c r="D77" s="45" t="n">
        <v>643657.47</v>
      </c>
      <c r="E77" s="8" t="n">
        <v>6662</v>
      </c>
      <c r="F77" s="8" t="n">
        <v>56973.18</v>
      </c>
      <c r="G77" s="8" t="n">
        <v>77.7</v>
      </c>
      <c r="H77" s="8" t="n">
        <v>3.2</v>
      </c>
      <c r="I77" s="8" t="n">
        <v>0.1</v>
      </c>
      <c r="J77" s="8" t="n">
        <v>1</v>
      </c>
      <c r="K77" s="8">
        <f>IF(B77="High Street",1,0)</f>
        <v/>
      </c>
      <c r="L77" s="8">
        <f>IF(B77="Airport",1,0)</f>
        <v/>
      </c>
      <c r="M77" s="8">
        <f>IF(B77="Mall",1,0)</f>
        <v/>
      </c>
      <c r="N77" s="45">
        <f>$U$3+$U$4*E77+$U$5*F77+$U$6*G77+$U$7*H77+$U$8*I77+$U$9*J77+$U$10*K77+$U$11*L77+$U$12*M77</f>
        <v/>
      </c>
      <c r="O77" s="45">
        <f>D77-N77</f>
        <v/>
      </c>
      <c r="P77" s="45">
        <f>ABS(O77)</f>
        <v/>
      </c>
      <c r="Q77" s="8">
        <f>RANK(P77,$P$3:$P$308,1)</f>
        <v/>
      </c>
      <c r="R77" s="8">
        <f>IF(O77&gt;0,"Over-predicted","Under-predicted")</f>
        <v/>
      </c>
    </row>
    <row r="78">
      <c r="A78" s="2" t="inlineStr">
        <is>
          <t>STR-1020</t>
        </is>
      </c>
      <c r="B78" s="2" t="inlineStr">
        <is>
          <t>High Street</t>
        </is>
      </c>
      <c r="C78" s="2" t="inlineStr">
        <is>
          <t>South</t>
        </is>
      </c>
      <c r="D78" s="44" t="n">
        <v>691112.6</v>
      </c>
      <c r="E78" s="5" t="n">
        <v>5962</v>
      </c>
      <c r="F78" s="5" t="n">
        <v>54872.82</v>
      </c>
      <c r="G78" s="5" t="n">
        <v>85.40000000000001</v>
      </c>
      <c r="H78" s="5" t="n">
        <v>2.9</v>
      </c>
      <c r="I78" s="5" t="n">
        <v>0.064</v>
      </c>
      <c r="J78" s="5" t="n">
        <v>0</v>
      </c>
      <c r="K78" s="5">
        <f>IF(B78="High Street",1,0)</f>
        <v/>
      </c>
      <c r="L78" s="5">
        <f>IF(B78="Airport",1,0)</f>
        <v/>
      </c>
      <c r="M78" s="5">
        <f>IF(B78="Mall",1,0)</f>
        <v/>
      </c>
      <c r="N78" s="44">
        <f>$U$3+$U$4*E78+$U$5*F78+$U$6*G78+$U$7*H78+$U$8*I78+$U$9*J78+$U$10*K78+$U$11*L78+$U$12*M78</f>
        <v/>
      </c>
      <c r="O78" s="44">
        <f>D78-N78</f>
        <v/>
      </c>
      <c r="P78" s="44">
        <f>ABS(O78)</f>
        <v/>
      </c>
      <c r="Q78" s="5">
        <f>RANK(P78,$P$3:$P$308,1)</f>
        <v/>
      </c>
      <c r="R78" s="5">
        <f>IF(O78&gt;0,"Over-predicted","Under-predicted")</f>
        <v/>
      </c>
    </row>
    <row r="79">
      <c r="A79" s="6" t="inlineStr">
        <is>
          <t>STR-1020</t>
        </is>
      </c>
      <c r="B79" s="6" t="inlineStr">
        <is>
          <t>High Street</t>
        </is>
      </c>
      <c r="C79" s="6" t="inlineStr">
        <is>
          <t>South</t>
        </is>
      </c>
      <c r="D79" s="45" t="n">
        <v>776922.17</v>
      </c>
      <c r="E79" s="8" t="n">
        <v>7470</v>
      </c>
      <c r="F79" s="8" t="n">
        <v>80562.81</v>
      </c>
      <c r="G79" s="8" t="n">
        <v>83.5</v>
      </c>
      <c r="H79" s="8" t="n">
        <v>3.3</v>
      </c>
      <c r="I79" s="8" t="n">
        <v>0.172</v>
      </c>
      <c r="J79" s="8" t="n">
        <v>0</v>
      </c>
      <c r="K79" s="8">
        <f>IF(B79="High Street",1,0)</f>
        <v/>
      </c>
      <c r="L79" s="8">
        <f>IF(B79="Airport",1,0)</f>
        <v/>
      </c>
      <c r="M79" s="8">
        <f>IF(B79="Mall",1,0)</f>
        <v/>
      </c>
      <c r="N79" s="45">
        <f>$U$3+$U$4*E79+$U$5*F79+$U$6*G79+$U$7*H79+$U$8*I79+$U$9*J79+$U$10*K79+$U$11*L79+$U$12*M79</f>
        <v/>
      </c>
      <c r="O79" s="45">
        <f>D79-N79</f>
        <v/>
      </c>
      <c r="P79" s="45">
        <f>ABS(O79)</f>
        <v/>
      </c>
      <c r="Q79" s="8">
        <f>RANK(P79,$P$3:$P$308,1)</f>
        <v/>
      </c>
      <c r="R79" s="8">
        <f>IF(O79&gt;0,"Over-predicted","Under-predicted")</f>
        <v/>
      </c>
    </row>
    <row r="80">
      <c r="A80" s="2" t="inlineStr">
        <is>
          <t>STR-1020</t>
        </is>
      </c>
      <c r="B80" s="2" t="inlineStr">
        <is>
          <t>High Street</t>
        </is>
      </c>
      <c r="C80" s="2" t="inlineStr">
        <is>
          <t>South</t>
        </is>
      </c>
      <c r="D80" s="44" t="n">
        <v>636561.34</v>
      </c>
      <c r="E80" s="5" t="n">
        <v>5974</v>
      </c>
      <c r="F80" s="5" t="n">
        <v>77999.89999999999</v>
      </c>
      <c r="G80" s="5" t="n">
        <v>81.3</v>
      </c>
      <c r="H80" s="5" t="n">
        <v>3.2</v>
      </c>
      <c r="I80" s="5" t="n">
        <v>0.252</v>
      </c>
      <c r="J80" s="5" t="n">
        <v>0</v>
      </c>
      <c r="K80" s="5">
        <f>IF(B80="High Street",1,0)</f>
        <v/>
      </c>
      <c r="L80" s="5">
        <f>IF(B80="Airport",1,0)</f>
        <v/>
      </c>
      <c r="M80" s="5">
        <f>IF(B80="Mall",1,0)</f>
        <v/>
      </c>
      <c r="N80" s="44">
        <f>$U$3+$U$4*E80+$U$5*F80+$U$6*G80+$U$7*H80+$U$8*I80+$U$9*J80+$U$10*K80+$U$11*L80+$U$12*M80</f>
        <v/>
      </c>
      <c r="O80" s="44">
        <f>D80-N80</f>
        <v/>
      </c>
      <c r="P80" s="44">
        <f>ABS(O80)</f>
        <v/>
      </c>
      <c r="Q80" s="5">
        <f>RANK(P80,$P$3:$P$308,1)</f>
        <v/>
      </c>
      <c r="R80" s="5">
        <f>IF(O80&gt;0,"Over-predicted","Under-predicted")</f>
        <v/>
      </c>
    </row>
    <row r="81">
      <c r="A81" s="6" t="inlineStr">
        <is>
          <t>STR-1021</t>
        </is>
      </c>
      <c r="B81" s="6" t="inlineStr">
        <is>
          <t>Mall</t>
        </is>
      </c>
      <c r="C81" s="6" t="inlineStr">
        <is>
          <t>West</t>
        </is>
      </c>
      <c r="D81" s="45" t="n">
        <v>621369.58</v>
      </c>
      <c r="E81" s="8" t="n">
        <v>5410</v>
      </c>
      <c r="F81" s="8" t="n">
        <v>60881.01</v>
      </c>
      <c r="G81" s="8" t="n">
        <v>83.90000000000001</v>
      </c>
      <c r="H81" s="8" t="n">
        <v>4.6</v>
      </c>
      <c r="I81" s="8" t="n">
        <v>0.179</v>
      </c>
      <c r="J81" s="8" t="n">
        <v>0</v>
      </c>
      <c r="K81" s="8">
        <f>IF(B81="High Street",1,0)</f>
        <v/>
      </c>
      <c r="L81" s="8">
        <f>IF(B81="Airport",1,0)</f>
        <v/>
      </c>
      <c r="M81" s="8">
        <f>IF(B81="Mall",1,0)</f>
        <v/>
      </c>
      <c r="N81" s="45">
        <f>$U$3+$U$4*E81+$U$5*F81+$U$6*G81+$U$7*H81+$U$8*I81+$U$9*J81+$U$10*K81+$U$11*L81+$U$12*M81</f>
        <v/>
      </c>
      <c r="O81" s="45">
        <f>D81-N81</f>
        <v/>
      </c>
      <c r="P81" s="45">
        <f>ABS(O81)</f>
        <v/>
      </c>
      <c r="Q81" s="8">
        <f>RANK(P81,$P$3:$P$308,1)</f>
        <v/>
      </c>
      <c r="R81" s="8">
        <f>IF(O81&gt;0,"Over-predicted","Under-predicted")</f>
        <v/>
      </c>
    </row>
    <row r="82">
      <c r="A82" s="2" t="inlineStr">
        <is>
          <t>STR-1021</t>
        </is>
      </c>
      <c r="B82" s="2" t="inlineStr">
        <is>
          <t>Mall</t>
        </is>
      </c>
      <c r="C82" s="2" t="inlineStr">
        <is>
          <t>West</t>
        </is>
      </c>
      <c r="D82" s="44" t="n">
        <v>682208.01</v>
      </c>
      <c r="E82" s="5" t="n">
        <v>4451</v>
      </c>
      <c r="F82" s="5" t="n">
        <v>60628.38</v>
      </c>
      <c r="G82" s="5" t="n">
        <v>89.59999999999999</v>
      </c>
      <c r="H82" s="5" t="n">
        <v>4.6</v>
      </c>
      <c r="I82" s="5" t="n">
        <v>0.095</v>
      </c>
      <c r="J82" s="5" t="n">
        <v>0</v>
      </c>
      <c r="K82" s="5">
        <f>IF(B82="High Street",1,0)</f>
        <v/>
      </c>
      <c r="L82" s="5">
        <f>IF(B82="Airport",1,0)</f>
        <v/>
      </c>
      <c r="M82" s="5">
        <f>IF(B82="Mall",1,0)</f>
        <v/>
      </c>
      <c r="N82" s="44">
        <f>$U$3+$U$4*E82+$U$5*F82+$U$6*G82+$U$7*H82+$U$8*I82+$U$9*J82+$U$10*K82+$U$11*L82+$U$12*M82</f>
        <v/>
      </c>
      <c r="O82" s="44">
        <f>D82-N82</f>
        <v/>
      </c>
      <c r="P82" s="44">
        <f>ABS(O82)</f>
        <v/>
      </c>
      <c r="Q82" s="5">
        <f>RANK(P82,$P$3:$P$308,1)</f>
        <v/>
      </c>
      <c r="R82" s="5">
        <f>IF(O82&gt;0,"Over-predicted","Under-predicted")</f>
        <v/>
      </c>
    </row>
    <row r="83">
      <c r="A83" s="6" t="inlineStr">
        <is>
          <t>STR-1021</t>
        </is>
      </c>
      <c r="B83" s="6" t="inlineStr">
        <is>
          <t>Mall</t>
        </is>
      </c>
      <c r="C83" s="6" t="inlineStr">
        <is>
          <t>West</t>
        </is>
      </c>
      <c r="D83" s="45" t="n">
        <v>727241.86</v>
      </c>
      <c r="E83" s="8" t="n">
        <v>4644</v>
      </c>
      <c r="F83" s="8" t="n">
        <v>72731.14</v>
      </c>
      <c r="G83" s="8" t="n">
        <v>87.09999999999999</v>
      </c>
      <c r="H83" s="8" t="n">
        <v>4.6</v>
      </c>
      <c r="I83" s="8" t="n">
        <v>0.08400000000000001</v>
      </c>
      <c r="J83" s="8" t="n">
        <v>0</v>
      </c>
      <c r="K83" s="8">
        <f>IF(B83="High Street",1,0)</f>
        <v/>
      </c>
      <c r="L83" s="8">
        <f>IF(B83="Airport",1,0)</f>
        <v/>
      </c>
      <c r="M83" s="8">
        <f>IF(B83="Mall",1,0)</f>
        <v/>
      </c>
      <c r="N83" s="45">
        <f>$U$3+$U$4*E83+$U$5*F83+$U$6*G83+$U$7*H83+$U$8*I83+$U$9*J83+$U$10*K83+$U$11*L83+$U$12*M83</f>
        <v/>
      </c>
      <c r="O83" s="45">
        <f>D83-N83</f>
        <v/>
      </c>
      <c r="P83" s="45">
        <f>ABS(O83)</f>
        <v/>
      </c>
      <c r="Q83" s="8">
        <f>RANK(P83,$P$3:$P$308,1)</f>
        <v/>
      </c>
      <c r="R83" s="8">
        <f>IF(O83&gt;0,"Over-predicted","Under-predicted")</f>
        <v/>
      </c>
    </row>
    <row r="84">
      <c r="A84" s="2" t="inlineStr">
        <is>
          <t>STR-1021</t>
        </is>
      </c>
      <c r="B84" s="2" t="inlineStr">
        <is>
          <t>Mall</t>
        </is>
      </c>
      <c r="C84" s="2" t="inlineStr">
        <is>
          <t>West</t>
        </is>
      </c>
      <c r="D84" s="44" t="n">
        <v>569100.78</v>
      </c>
      <c r="E84" s="5" t="n">
        <v>3559</v>
      </c>
      <c r="F84" s="5" t="n">
        <v>36475.71</v>
      </c>
      <c r="G84" s="5" t="n">
        <v>83.59999999999999</v>
      </c>
      <c r="H84" s="5" t="n">
        <v>4.2</v>
      </c>
      <c r="I84" s="5" t="n">
        <v>0.03</v>
      </c>
      <c r="J84" s="5" t="n">
        <v>0</v>
      </c>
      <c r="K84" s="5">
        <f>IF(B84="High Street",1,0)</f>
        <v/>
      </c>
      <c r="L84" s="5">
        <f>IF(B84="Airport",1,0)</f>
        <v/>
      </c>
      <c r="M84" s="5">
        <f>IF(B84="Mall",1,0)</f>
        <v/>
      </c>
      <c r="N84" s="44">
        <f>$U$3+$U$4*E84+$U$5*F84+$U$6*G84+$U$7*H84+$U$8*I84+$U$9*J84+$U$10*K84+$U$11*L84+$U$12*M84</f>
        <v/>
      </c>
      <c r="O84" s="44">
        <f>D84-N84</f>
        <v/>
      </c>
      <c r="P84" s="44">
        <f>ABS(O84)</f>
        <v/>
      </c>
      <c r="Q84" s="5">
        <f>RANK(P84,$P$3:$P$308,1)</f>
        <v/>
      </c>
      <c r="R84" s="5">
        <f>IF(O84&gt;0,"Over-predicted","Under-predicted")</f>
        <v/>
      </c>
    </row>
    <row r="85">
      <c r="A85" s="6" t="inlineStr">
        <is>
          <t>STR-1022</t>
        </is>
      </c>
      <c r="B85" s="6" t="inlineStr">
        <is>
          <t>High Street</t>
        </is>
      </c>
      <c r="C85" s="6" t="inlineStr">
        <is>
          <t>West</t>
        </is>
      </c>
      <c r="D85" s="45" t="n">
        <v>574436.29</v>
      </c>
      <c r="E85" s="8" t="n">
        <v>3091</v>
      </c>
      <c r="F85" s="8" t="n">
        <v>55388.11</v>
      </c>
      <c r="G85" s="8" t="n">
        <v>85.40000000000001</v>
      </c>
      <c r="H85" s="8" t="n">
        <v>4.9</v>
      </c>
      <c r="I85" s="8" t="n">
        <v>0.108</v>
      </c>
      <c r="J85" s="8" t="n">
        <v>0</v>
      </c>
      <c r="K85" s="8">
        <f>IF(B85="High Street",1,0)</f>
        <v/>
      </c>
      <c r="L85" s="8">
        <f>IF(B85="Airport",1,0)</f>
        <v/>
      </c>
      <c r="M85" s="8">
        <f>IF(B85="Mall",1,0)</f>
        <v/>
      </c>
      <c r="N85" s="45">
        <f>$U$3+$U$4*E85+$U$5*F85+$U$6*G85+$U$7*H85+$U$8*I85+$U$9*J85+$U$10*K85+$U$11*L85+$U$12*M85</f>
        <v/>
      </c>
      <c r="O85" s="45">
        <f>D85-N85</f>
        <v/>
      </c>
      <c r="P85" s="45">
        <f>ABS(O85)</f>
        <v/>
      </c>
      <c r="Q85" s="8">
        <f>RANK(P85,$P$3:$P$308,1)</f>
        <v/>
      </c>
      <c r="R85" s="8">
        <f>IF(O85&gt;0,"Over-predicted","Under-predicted")</f>
        <v/>
      </c>
    </row>
    <row r="86">
      <c r="A86" s="2" t="inlineStr">
        <is>
          <t>STR-1022</t>
        </is>
      </c>
      <c r="B86" s="2" t="inlineStr">
        <is>
          <t>High Street</t>
        </is>
      </c>
      <c r="C86" s="2" t="inlineStr">
        <is>
          <t>West</t>
        </is>
      </c>
      <c r="D86" s="44" t="n">
        <v>614596.3199999999</v>
      </c>
      <c r="E86" s="5" t="n">
        <v>3788</v>
      </c>
      <c r="F86" s="5" t="n">
        <v>78231.91</v>
      </c>
      <c r="G86" s="5" t="n">
        <v>88.5</v>
      </c>
      <c r="H86" s="5" t="n">
        <v>4.3</v>
      </c>
      <c r="I86" s="5" t="n">
        <v>0.059</v>
      </c>
      <c r="J86" s="5" t="n">
        <v>0</v>
      </c>
      <c r="K86" s="5">
        <f>IF(B86="High Street",1,0)</f>
        <v/>
      </c>
      <c r="L86" s="5">
        <f>IF(B86="Airport",1,0)</f>
        <v/>
      </c>
      <c r="M86" s="5">
        <f>IF(B86="Mall",1,0)</f>
        <v/>
      </c>
      <c r="N86" s="44">
        <f>$U$3+$U$4*E86+$U$5*F86+$U$6*G86+$U$7*H86+$U$8*I86+$U$9*J86+$U$10*K86+$U$11*L86+$U$12*M86</f>
        <v/>
      </c>
      <c r="O86" s="44">
        <f>D86-N86</f>
        <v/>
      </c>
      <c r="P86" s="44">
        <f>ABS(O86)</f>
        <v/>
      </c>
      <c r="Q86" s="5">
        <f>RANK(P86,$P$3:$P$308,1)</f>
        <v/>
      </c>
      <c r="R86" s="5">
        <f>IF(O86&gt;0,"Over-predicted","Under-predicted")</f>
        <v/>
      </c>
    </row>
    <row r="87">
      <c r="A87" s="6" t="inlineStr">
        <is>
          <t>STR-1022</t>
        </is>
      </c>
      <c r="B87" s="6" t="inlineStr">
        <is>
          <t>High Street</t>
        </is>
      </c>
      <c r="C87" s="6" t="inlineStr">
        <is>
          <t>West</t>
        </is>
      </c>
      <c r="D87" s="45" t="n">
        <v>450711.92</v>
      </c>
      <c r="E87" s="8" t="n">
        <v>1260</v>
      </c>
      <c r="F87" s="8" t="n">
        <v>18996.32</v>
      </c>
      <c r="G87" s="8" t="n">
        <v>86.40000000000001</v>
      </c>
      <c r="H87" s="8" t="n">
        <v>4.6</v>
      </c>
      <c r="I87" s="8" t="n">
        <v>0.145</v>
      </c>
      <c r="J87" s="8" t="n">
        <v>0</v>
      </c>
      <c r="K87" s="8">
        <f>IF(B87="High Street",1,0)</f>
        <v/>
      </c>
      <c r="L87" s="8">
        <f>IF(B87="Airport",1,0)</f>
        <v/>
      </c>
      <c r="M87" s="8">
        <f>IF(B87="Mall",1,0)</f>
        <v/>
      </c>
      <c r="N87" s="45">
        <f>$U$3+$U$4*E87+$U$5*F87+$U$6*G87+$U$7*H87+$U$8*I87+$U$9*J87+$U$10*K87+$U$11*L87+$U$12*M87</f>
        <v/>
      </c>
      <c r="O87" s="45">
        <f>D87-N87</f>
        <v/>
      </c>
      <c r="P87" s="45">
        <f>ABS(O87)</f>
        <v/>
      </c>
      <c r="Q87" s="8">
        <f>RANK(P87,$P$3:$P$308,1)</f>
        <v/>
      </c>
      <c r="R87" s="8">
        <f>IF(O87&gt;0,"Over-predicted","Under-predicted")</f>
        <v/>
      </c>
    </row>
    <row r="88">
      <c r="A88" s="2" t="inlineStr">
        <is>
          <t>STR-1023</t>
        </is>
      </c>
      <c r="B88" s="2" t="inlineStr">
        <is>
          <t>Mall</t>
        </is>
      </c>
      <c r="C88" s="2" t="inlineStr">
        <is>
          <t>South</t>
        </is>
      </c>
      <c r="D88" s="44" t="n">
        <v>711213.46</v>
      </c>
      <c r="E88" s="5" t="n">
        <v>7024</v>
      </c>
      <c r="F88" s="5" t="n">
        <v>50517.94</v>
      </c>
      <c r="G88" s="5" t="n">
        <v>79.2</v>
      </c>
      <c r="H88" s="5" t="n">
        <v>4.1</v>
      </c>
      <c r="I88" s="5" t="n">
        <v>0.029</v>
      </c>
      <c r="J88" s="5" t="n">
        <v>1</v>
      </c>
      <c r="K88" s="5">
        <f>IF(B88="High Street",1,0)</f>
        <v/>
      </c>
      <c r="L88" s="5">
        <f>IF(B88="Airport",1,0)</f>
        <v/>
      </c>
      <c r="M88" s="5">
        <f>IF(B88="Mall",1,0)</f>
        <v/>
      </c>
      <c r="N88" s="44">
        <f>$U$3+$U$4*E88+$U$5*F88+$U$6*G88+$U$7*H88+$U$8*I88+$U$9*J88+$U$10*K88+$U$11*L88+$U$12*M88</f>
        <v/>
      </c>
      <c r="O88" s="44">
        <f>D88-N88</f>
        <v/>
      </c>
      <c r="P88" s="44">
        <f>ABS(O88)</f>
        <v/>
      </c>
      <c r="Q88" s="5">
        <f>RANK(P88,$P$3:$P$308,1)</f>
        <v/>
      </c>
      <c r="R88" s="5">
        <f>IF(O88&gt;0,"Over-predicted","Under-predicted")</f>
        <v/>
      </c>
    </row>
    <row r="89">
      <c r="A89" s="6" t="inlineStr">
        <is>
          <t>STR-1023</t>
        </is>
      </c>
      <c r="B89" s="6" t="inlineStr">
        <is>
          <t>Mall</t>
        </is>
      </c>
      <c r="C89" s="6" t="inlineStr">
        <is>
          <t>South</t>
        </is>
      </c>
      <c r="D89" s="45" t="n">
        <v>627171.9</v>
      </c>
      <c r="E89" s="8" t="n">
        <v>5400</v>
      </c>
      <c r="F89" s="8" t="n">
        <v>141540.29</v>
      </c>
      <c r="G89" s="8" t="n">
        <v>87</v>
      </c>
      <c r="H89" s="8" t="n">
        <v>4.5</v>
      </c>
      <c r="I89" s="8" t="n">
        <v>0.013</v>
      </c>
      <c r="J89" s="8" t="n">
        <v>0</v>
      </c>
      <c r="K89" s="8">
        <f>IF(B89="High Street",1,0)</f>
        <v/>
      </c>
      <c r="L89" s="8">
        <f>IF(B89="Airport",1,0)</f>
        <v/>
      </c>
      <c r="M89" s="8">
        <f>IF(B89="Mall",1,0)</f>
        <v/>
      </c>
      <c r="N89" s="45">
        <f>$U$3+$U$4*E89+$U$5*F89+$U$6*G89+$U$7*H89+$U$8*I89+$U$9*J89+$U$10*K89+$U$11*L89+$U$12*M89</f>
        <v/>
      </c>
      <c r="O89" s="45">
        <f>D89-N89</f>
        <v/>
      </c>
      <c r="P89" s="45">
        <f>ABS(O89)</f>
        <v/>
      </c>
      <c r="Q89" s="8">
        <f>RANK(P89,$P$3:$P$308,1)</f>
        <v/>
      </c>
      <c r="R89" s="8">
        <f>IF(O89&gt;0,"Over-predicted","Under-predicted")</f>
        <v/>
      </c>
    </row>
    <row r="90">
      <c r="A90" s="2" t="inlineStr">
        <is>
          <t>STR-1023</t>
        </is>
      </c>
      <c r="B90" s="2" t="inlineStr">
        <is>
          <t>Mall</t>
        </is>
      </c>
      <c r="C90" s="2" t="inlineStr">
        <is>
          <t>South</t>
        </is>
      </c>
      <c r="D90" s="44" t="n">
        <v>739852.58</v>
      </c>
      <c r="E90" s="5" t="n">
        <v>5988</v>
      </c>
      <c r="F90" s="5" t="n">
        <v>82116.19</v>
      </c>
      <c r="G90" s="5" t="n">
        <v>91.8</v>
      </c>
      <c r="H90" s="5" t="n">
        <v>4.7</v>
      </c>
      <c r="I90" s="5" t="n">
        <v>0.04</v>
      </c>
      <c r="J90" s="5" t="n">
        <v>0</v>
      </c>
      <c r="K90" s="5">
        <f>IF(B90="High Street",1,0)</f>
        <v/>
      </c>
      <c r="L90" s="5">
        <f>IF(B90="Airport",1,0)</f>
        <v/>
      </c>
      <c r="M90" s="5">
        <f>IF(B90="Mall",1,0)</f>
        <v/>
      </c>
      <c r="N90" s="44">
        <f>$U$3+$U$4*E90+$U$5*F90+$U$6*G90+$U$7*H90+$U$8*I90+$U$9*J90+$U$10*K90+$U$11*L90+$U$12*M90</f>
        <v/>
      </c>
      <c r="O90" s="44">
        <f>D90-N90</f>
        <v/>
      </c>
      <c r="P90" s="44">
        <f>ABS(O90)</f>
        <v/>
      </c>
      <c r="Q90" s="5">
        <f>RANK(P90,$P$3:$P$308,1)</f>
        <v/>
      </c>
      <c r="R90" s="5">
        <f>IF(O90&gt;0,"Over-predicted","Under-predicted")</f>
        <v/>
      </c>
    </row>
    <row r="91">
      <c r="A91" s="6" t="inlineStr">
        <is>
          <t>STR-1023</t>
        </is>
      </c>
      <c r="B91" s="6" t="inlineStr">
        <is>
          <t>Mall</t>
        </is>
      </c>
      <c r="C91" s="6" t="inlineStr">
        <is>
          <t>South</t>
        </is>
      </c>
      <c r="D91" s="45" t="n">
        <v>586307.22</v>
      </c>
      <c r="E91" s="8" t="n">
        <v>3701</v>
      </c>
      <c r="F91" s="8" t="n">
        <v>31207.51</v>
      </c>
      <c r="G91" s="8" t="n">
        <v>84.7</v>
      </c>
      <c r="H91" s="8" t="n">
        <v>4.3</v>
      </c>
      <c r="I91" s="8" t="n">
        <v>0.043</v>
      </c>
      <c r="J91" s="8" t="n">
        <v>0</v>
      </c>
      <c r="K91" s="8">
        <f>IF(B91="High Street",1,0)</f>
        <v/>
      </c>
      <c r="L91" s="8">
        <f>IF(B91="Airport",1,0)</f>
        <v/>
      </c>
      <c r="M91" s="8">
        <f>IF(B91="Mall",1,0)</f>
        <v/>
      </c>
      <c r="N91" s="45">
        <f>$U$3+$U$4*E91+$U$5*F91+$U$6*G91+$U$7*H91+$U$8*I91+$U$9*J91+$U$10*K91+$U$11*L91+$U$12*M91</f>
        <v/>
      </c>
      <c r="O91" s="45">
        <f>D91-N91</f>
        <v/>
      </c>
      <c r="P91" s="45">
        <f>ABS(O91)</f>
        <v/>
      </c>
      <c r="Q91" s="8">
        <f>RANK(P91,$P$3:$P$308,1)</f>
        <v/>
      </c>
      <c r="R91" s="8">
        <f>IF(O91&gt;0,"Over-predicted","Under-predicted")</f>
        <v/>
      </c>
    </row>
    <row r="92">
      <c r="A92" s="2" t="inlineStr">
        <is>
          <t>STR-1024</t>
        </is>
      </c>
      <c r="B92" s="2" t="inlineStr">
        <is>
          <t>Residential</t>
        </is>
      </c>
      <c r="C92" s="2" t="inlineStr">
        <is>
          <t>West</t>
        </is>
      </c>
      <c r="D92" s="44" t="n">
        <v>585937.48</v>
      </c>
      <c r="E92" s="5" t="n">
        <v>4509</v>
      </c>
      <c r="F92" s="5" t="n">
        <v>38966.59</v>
      </c>
      <c r="G92" s="5" t="n">
        <v>91.09999999999999</v>
      </c>
      <c r="H92" s="5" t="n">
        <v>4.6</v>
      </c>
      <c r="I92" s="5" t="n">
        <v>0.194</v>
      </c>
      <c r="J92" s="5" t="n">
        <v>0</v>
      </c>
      <c r="K92" s="5">
        <f>IF(B92="High Street",1,0)</f>
        <v/>
      </c>
      <c r="L92" s="5">
        <f>IF(B92="Airport",1,0)</f>
        <v/>
      </c>
      <c r="M92" s="5">
        <f>IF(B92="Mall",1,0)</f>
        <v/>
      </c>
      <c r="N92" s="44">
        <f>$U$3+$U$4*E92+$U$5*F92+$U$6*G92+$U$7*H92+$U$8*I92+$U$9*J92+$U$10*K92+$U$11*L92+$U$12*M92</f>
        <v/>
      </c>
      <c r="O92" s="44">
        <f>D92-N92</f>
        <v/>
      </c>
      <c r="P92" s="44">
        <f>ABS(O92)</f>
        <v/>
      </c>
      <c r="Q92" s="5">
        <f>RANK(P92,$P$3:$P$308,1)</f>
        <v/>
      </c>
      <c r="R92" s="5">
        <f>IF(O92&gt;0,"Over-predicted","Under-predicted")</f>
        <v/>
      </c>
    </row>
    <row r="93">
      <c r="A93" s="6" t="inlineStr">
        <is>
          <t>STR-1024</t>
        </is>
      </c>
      <c r="B93" s="6" t="inlineStr">
        <is>
          <t>Residential</t>
        </is>
      </c>
      <c r="C93" s="6" t="inlineStr">
        <is>
          <t>West</t>
        </is>
      </c>
      <c r="D93" s="45" t="n">
        <v>753473.55</v>
      </c>
      <c r="E93" s="8" t="n">
        <v>6477</v>
      </c>
      <c r="F93" s="8" t="n">
        <v>67439.3</v>
      </c>
      <c r="G93" s="8" t="n">
        <v>90.90000000000001</v>
      </c>
      <c r="H93" s="8" t="n">
        <v>4.5</v>
      </c>
      <c r="I93" s="8" t="n">
        <v>0</v>
      </c>
      <c r="J93" s="8" t="n">
        <v>0</v>
      </c>
      <c r="K93" s="8">
        <f>IF(B93="High Street",1,0)</f>
        <v/>
      </c>
      <c r="L93" s="8">
        <f>IF(B93="Airport",1,0)</f>
        <v/>
      </c>
      <c r="M93" s="8">
        <f>IF(B93="Mall",1,0)</f>
        <v/>
      </c>
      <c r="N93" s="45">
        <f>$U$3+$U$4*E93+$U$5*F93+$U$6*G93+$U$7*H93+$U$8*I93+$U$9*J93+$U$10*K93+$U$11*L93+$U$12*M93</f>
        <v/>
      </c>
      <c r="O93" s="45">
        <f>D93-N93</f>
        <v/>
      </c>
      <c r="P93" s="45">
        <f>ABS(O93)</f>
        <v/>
      </c>
      <c r="Q93" s="8">
        <f>RANK(P93,$P$3:$P$308,1)</f>
        <v/>
      </c>
      <c r="R93" s="8">
        <f>IF(O93&gt;0,"Over-predicted","Under-predicted")</f>
        <v/>
      </c>
    </row>
    <row r="94">
      <c r="A94" s="2" t="inlineStr">
        <is>
          <t>STR-1024</t>
        </is>
      </c>
      <c r="B94" s="2" t="inlineStr">
        <is>
          <t>Residential</t>
        </is>
      </c>
      <c r="C94" s="2" t="inlineStr">
        <is>
          <t>West</t>
        </is>
      </c>
      <c r="D94" s="44" t="n">
        <v>838250.3199999999</v>
      </c>
      <c r="E94" s="5" t="n">
        <v>7970</v>
      </c>
      <c r="F94" s="5" t="n">
        <v>86421.88</v>
      </c>
      <c r="G94" s="5" t="n">
        <v>91.3</v>
      </c>
      <c r="H94" s="5" t="n">
        <v>5</v>
      </c>
      <c r="I94" s="5" t="n">
        <v>0.073</v>
      </c>
      <c r="J94" s="5" t="n">
        <v>0</v>
      </c>
      <c r="K94" s="5">
        <f>IF(B94="High Street",1,0)</f>
        <v/>
      </c>
      <c r="L94" s="5">
        <f>IF(B94="Airport",1,0)</f>
        <v/>
      </c>
      <c r="M94" s="5">
        <f>IF(B94="Mall",1,0)</f>
        <v/>
      </c>
      <c r="N94" s="44">
        <f>$U$3+$U$4*E94+$U$5*F94+$U$6*G94+$U$7*H94+$U$8*I94+$U$9*J94+$U$10*K94+$U$11*L94+$U$12*M94</f>
        <v/>
      </c>
      <c r="O94" s="44">
        <f>D94-N94</f>
        <v/>
      </c>
      <c r="P94" s="44">
        <f>ABS(O94)</f>
        <v/>
      </c>
      <c r="Q94" s="5">
        <f>RANK(P94,$P$3:$P$308,1)</f>
        <v/>
      </c>
      <c r="R94" s="5">
        <f>IF(O94&gt;0,"Over-predicted","Under-predicted")</f>
        <v/>
      </c>
    </row>
    <row r="95">
      <c r="A95" s="6" t="inlineStr">
        <is>
          <t>STR-1024</t>
        </is>
      </c>
      <c r="B95" s="6" t="inlineStr">
        <is>
          <t>Residential</t>
        </is>
      </c>
      <c r="C95" s="6" t="inlineStr">
        <is>
          <t>West</t>
        </is>
      </c>
      <c r="D95" s="45" t="n">
        <v>607898.12</v>
      </c>
      <c r="E95" s="8" t="n">
        <v>6057</v>
      </c>
      <c r="F95" s="8" t="n">
        <v>9534.65</v>
      </c>
      <c r="G95" s="8" t="n">
        <v>94.09999999999999</v>
      </c>
      <c r="H95" s="8" t="n">
        <v>4.5</v>
      </c>
      <c r="I95" s="8" t="n">
        <v>0.074</v>
      </c>
      <c r="J95" s="8" t="n">
        <v>0</v>
      </c>
      <c r="K95" s="8">
        <f>IF(B95="High Street",1,0)</f>
        <v/>
      </c>
      <c r="L95" s="8">
        <f>IF(B95="Airport",1,0)</f>
        <v/>
      </c>
      <c r="M95" s="8">
        <f>IF(B95="Mall",1,0)</f>
        <v/>
      </c>
      <c r="N95" s="45">
        <f>$U$3+$U$4*E95+$U$5*F95+$U$6*G95+$U$7*H95+$U$8*I95+$U$9*J95+$U$10*K95+$U$11*L95+$U$12*M95</f>
        <v/>
      </c>
      <c r="O95" s="45">
        <f>D95-N95</f>
        <v/>
      </c>
      <c r="P95" s="45">
        <f>ABS(O95)</f>
        <v/>
      </c>
      <c r="Q95" s="8">
        <f>RANK(P95,$P$3:$P$308,1)</f>
        <v/>
      </c>
      <c r="R95" s="8">
        <f>IF(O95&gt;0,"Over-predicted","Under-predicted")</f>
        <v/>
      </c>
    </row>
    <row r="96">
      <c r="A96" s="2" t="inlineStr">
        <is>
          <t>STR-1025</t>
        </is>
      </c>
      <c r="B96" s="2" t="inlineStr">
        <is>
          <t>Mall</t>
        </is>
      </c>
      <c r="C96" s="2" t="inlineStr">
        <is>
          <t>West</t>
        </is>
      </c>
      <c r="D96" s="44" t="n">
        <v>691113.62</v>
      </c>
      <c r="E96" s="5" t="n">
        <v>6394</v>
      </c>
      <c r="F96" s="5" t="n">
        <v>61132.07</v>
      </c>
      <c r="G96" s="5" t="n">
        <v>91</v>
      </c>
      <c r="H96" s="5" t="n">
        <v>4.4</v>
      </c>
      <c r="I96" s="5" t="n">
        <v>0.163</v>
      </c>
      <c r="J96" s="5" t="n">
        <v>0</v>
      </c>
      <c r="K96" s="5">
        <f>IF(B96="High Street",1,0)</f>
        <v/>
      </c>
      <c r="L96" s="5">
        <f>IF(B96="Airport",1,0)</f>
        <v/>
      </c>
      <c r="M96" s="5">
        <f>IF(B96="Mall",1,0)</f>
        <v/>
      </c>
      <c r="N96" s="44">
        <f>$U$3+$U$4*E96+$U$5*F96+$U$6*G96+$U$7*H96+$U$8*I96+$U$9*J96+$U$10*K96+$U$11*L96+$U$12*M96</f>
        <v/>
      </c>
      <c r="O96" s="44">
        <f>D96-N96</f>
        <v/>
      </c>
      <c r="P96" s="44">
        <f>ABS(O96)</f>
        <v/>
      </c>
      <c r="Q96" s="5">
        <f>RANK(P96,$P$3:$P$308,1)</f>
        <v/>
      </c>
      <c r="R96" s="5">
        <f>IF(O96&gt;0,"Over-predicted","Under-predicted")</f>
        <v/>
      </c>
    </row>
    <row r="97">
      <c r="A97" s="6" t="inlineStr">
        <is>
          <t>STR-1025</t>
        </is>
      </c>
      <c r="B97" s="6" t="inlineStr">
        <is>
          <t>Mall</t>
        </is>
      </c>
      <c r="C97" s="6" t="inlineStr">
        <is>
          <t>West</t>
        </is>
      </c>
      <c r="D97" s="45" t="n">
        <v>735509.4</v>
      </c>
      <c r="E97" s="8" t="n">
        <v>5150</v>
      </c>
      <c r="F97" s="8" t="n">
        <v>78839.39</v>
      </c>
      <c r="G97" s="8" t="n">
        <v>85.8</v>
      </c>
      <c r="H97" s="8" t="n">
        <v>4.3</v>
      </c>
      <c r="I97" s="8" t="n">
        <v>0.171</v>
      </c>
      <c r="J97" s="8" t="n">
        <v>0</v>
      </c>
      <c r="K97" s="8">
        <f>IF(B97="High Street",1,0)</f>
        <v/>
      </c>
      <c r="L97" s="8">
        <f>IF(B97="Airport",1,0)</f>
        <v/>
      </c>
      <c r="M97" s="8">
        <f>IF(B97="Mall",1,0)</f>
        <v/>
      </c>
      <c r="N97" s="45">
        <f>$U$3+$U$4*E97+$U$5*F97+$U$6*G97+$U$7*H97+$U$8*I97+$U$9*J97+$U$10*K97+$U$11*L97+$U$12*M97</f>
        <v/>
      </c>
      <c r="O97" s="45">
        <f>D97-N97</f>
        <v/>
      </c>
      <c r="P97" s="45">
        <f>ABS(O97)</f>
        <v/>
      </c>
      <c r="Q97" s="8">
        <f>RANK(P97,$P$3:$P$308,1)</f>
        <v/>
      </c>
      <c r="R97" s="8">
        <f>IF(O97&gt;0,"Over-predicted","Under-predicted")</f>
        <v/>
      </c>
    </row>
    <row r="98">
      <c r="A98" s="2" t="inlineStr">
        <is>
          <t>STR-1025</t>
        </is>
      </c>
      <c r="B98" s="2" t="inlineStr">
        <is>
          <t>Mall</t>
        </is>
      </c>
      <c r="C98" s="2" t="inlineStr">
        <is>
          <t>West</t>
        </is>
      </c>
      <c r="D98" s="44" t="n">
        <v>675177.6800000001</v>
      </c>
      <c r="E98" s="5" t="n">
        <v>5281</v>
      </c>
      <c r="F98" s="5" t="n">
        <v>55101.1</v>
      </c>
      <c r="G98" s="5" t="n">
        <v>91</v>
      </c>
      <c r="H98" s="5" t="n">
        <v>4.4</v>
      </c>
      <c r="I98" s="5" t="n">
        <v>0.189</v>
      </c>
      <c r="J98" s="5" t="n">
        <v>0</v>
      </c>
      <c r="K98" s="5">
        <f>IF(B98="High Street",1,0)</f>
        <v/>
      </c>
      <c r="L98" s="5">
        <f>IF(B98="Airport",1,0)</f>
        <v/>
      </c>
      <c r="M98" s="5">
        <f>IF(B98="Mall",1,0)</f>
        <v/>
      </c>
      <c r="N98" s="44">
        <f>$U$3+$U$4*E98+$U$5*F98+$U$6*G98+$U$7*H98+$U$8*I98+$U$9*J98+$U$10*K98+$U$11*L98+$U$12*M98</f>
        <v/>
      </c>
      <c r="O98" s="44">
        <f>D98-N98</f>
        <v/>
      </c>
      <c r="P98" s="44">
        <f>ABS(O98)</f>
        <v/>
      </c>
      <c r="Q98" s="5">
        <f>RANK(P98,$P$3:$P$308,1)</f>
        <v/>
      </c>
      <c r="R98" s="5">
        <f>IF(O98&gt;0,"Over-predicted","Under-predicted")</f>
        <v/>
      </c>
    </row>
    <row r="99">
      <c r="A99" s="6" t="inlineStr">
        <is>
          <t>STR-1026</t>
        </is>
      </c>
      <c r="B99" s="6" t="inlineStr">
        <is>
          <t>Mall</t>
        </is>
      </c>
      <c r="C99" s="6" t="inlineStr">
        <is>
          <t>East</t>
        </is>
      </c>
      <c r="D99" s="45" t="n">
        <v>635181.35</v>
      </c>
      <c r="E99" s="8" t="n">
        <v>3642</v>
      </c>
      <c r="F99" s="8" t="n">
        <v>53084.76</v>
      </c>
      <c r="G99" s="8" t="n">
        <v>91.40000000000001</v>
      </c>
      <c r="H99" s="8" t="n">
        <v>4.4</v>
      </c>
      <c r="I99" s="8" t="n">
        <v>0.15</v>
      </c>
      <c r="J99" s="8" t="n">
        <v>0</v>
      </c>
      <c r="K99" s="8">
        <f>IF(B99="High Street",1,0)</f>
        <v/>
      </c>
      <c r="L99" s="8">
        <f>IF(B99="Airport",1,0)</f>
        <v/>
      </c>
      <c r="M99" s="8">
        <f>IF(B99="Mall",1,0)</f>
        <v/>
      </c>
      <c r="N99" s="45">
        <f>$U$3+$U$4*E99+$U$5*F99+$U$6*G99+$U$7*H99+$U$8*I99+$U$9*J99+$U$10*K99+$U$11*L99+$U$12*M99</f>
        <v/>
      </c>
      <c r="O99" s="45">
        <f>D99-N99</f>
        <v/>
      </c>
      <c r="P99" s="45">
        <f>ABS(O99)</f>
        <v/>
      </c>
      <c r="Q99" s="8">
        <f>RANK(P99,$P$3:$P$308,1)</f>
        <v/>
      </c>
      <c r="R99" s="8">
        <f>IF(O99&gt;0,"Over-predicted","Under-predicted")</f>
        <v/>
      </c>
    </row>
    <row r="100">
      <c r="A100" s="2" t="inlineStr">
        <is>
          <t>STR-1026</t>
        </is>
      </c>
      <c r="B100" s="2" t="inlineStr">
        <is>
          <t>Mall</t>
        </is>
      </c>
      <c r="C100" s="2" t="inlineStr">
        <is>
          <t>East</t>
        </is>
      </c>
      <c r="D100" s="44" t="n">
        <v>586626.9399999999</v>
      </c>
      <c r="E100" s="5" t="n">
        <v>4373</v>
      </c>
      <c r="F100" s="5" t="n">
        <v>63101.59</v>
      </c>
      <c r="G100" s="5" t="n">
        <v>90.40000000000001</v>
      </c>
      <c r="H100" s="5" t="n">
        <v>4.7</v>
      </c>
      <c r="I100" s="5" t="n">
        <v>0.173</v>
      </c>
      <c r="J100" s="5" t="n">
        <v>0</v>
      </c>
      <c r="K100" s="5">
        <f>IF(B100="High Street",1,0)</f>
        <v/>
      </c>
      <c r="L100" s="5">
        <f>IF(B100="Airport",1,0)</f>
        <v/>
      </c>
      <c r="M100" s="5">
        <f>IF(B100="Mall",1,0)</f>
        <v/>
      </c>
      <c r="N100" s="44">
        <f>$U$3+$U$4*E100+$U$5*F100+$U$6*G100+$U$7*H100+$U$8*I100+$U$9*J100+$U$10*K100+$U$11*L100+$U$12*M100</f>
        <v/>
      </c>
      <c r="O100" s="44">
        <f>D100-N100</f>
        <v/>
      </c>
      <c r="P100" s="44">
        <f>ABS(O100)</f>
        <v/>
      </c>
      <c r="Q100" s="5">
        <f>RANK(P100,$P$3:$P$308,1)</f>
        <v/>
      </c>
      <c r="R100" s="5">
        <f>IF(O100&gt;0,"Over-predicted","Under-predicted")</f>
        <v/>
      </c>
    </row>
    <row r="101">
      <c r="A101" s="6" t="inlineStr">
        <is>
          <t>STR-1026</t>
        </is>
      </c>
      <c r="B101" s="6" t="inlineStr">
        <is>
          <t>Mall</t>
        </is>
      </c>
      <c r="C101" s="6" t="inlineStr">
        <is>
          <t>East</t>
        </is>
      </c>
      <c r="D101" s="45" t="n">
        <v>740102.64</v>
      </c>
      <c r="E101" s="8" t="n">
        <v>6832</v>
      </c>
      <c r="F101" s="8" t="n">
        <v>90084.39999999999</v>
      </c>
      <c r="G101" s="8" t="n">
        <v>80.5</v>
      </c>
      <c r="H101" s="8" t="n">
        <v>4.4</v>
      </c>
      <c r="I101" s="8" t="n">
        <v>0.185</v>
      </c>
      <c r="J101" s="8" t="n">
        <v>1</v>
      </c>
      <c r="K101" s="8">
        <f>IF(B101="High Street",1,0)</f>
        <v/>
      </c>
      <c r="L101" s="8">
        <f>IF(B101="Airport",1,0)</f>
        <v/>
      </c>
      <c r="M101" s="8">
        <f>IF(B101="Mall",1,0)</f>
        <v/>
      </c>
      <c r="N101" s="45">
        <f>$U$3+$U$4*E101+$U$5*F101+$U$6*G101+$U$7*H101+$U$8*I101+$U$9*J101+$U$10*K101+$U$11*L101+$U$12*M101</f>
        <v/>
      </c>
      <c r="O101" s="45">
        <f>D101-N101</f>
        <v/>
      </c>
      <c r="P101" s="45">
        <f>ABS(O101)</f>
        <v/>
      </c>
      <c r="Q101" s="8">
        <f>RANK(P101,$P$3:$P$308,1)</f>
        <v/>
      </c>
      <c r="R101" s="8">
        <f>IF(O101&gt;0,"Over-predicted","Under-predicted")</f>
        <v/>
      </c>
    </row>
    <row r="102">
      <c r="A102" s="2" t="inlineStr">
        <is>
          <t>STR-1026</t>
        </is>
      </c>
      <c r="B102" s="2" t="inlineStr">
        <is>
          <t>Mall</t>
        </is>
      </c>
      <c r="C102" s="2" t="inlineStr">
        <is>
          <t>East</t>
        </is>
      </c>
      <c r="D102" s="44" t="n">
        <v>625514.04</v>
      </c>
      <c r="E102" s="5" t="n">
        <v>2414</v>
      </c>
      <c r="F102" s="5" t="n">
        <v>32266.64</v>
      </c>
      <c r="G102" s="5" t="n">
        <v>92.09999999999999</v>
      </c>
      <c r="H102" s="5" t="n">
        <v>5</v>
      </c>
      <c r="I102" s="5" t="n">
        <v>0.08</v>
      </c>
      <c r="J102" s="5" t="n">
        <v>0</v>
      </c>
      <c r="K102" s="5">
        <f>IF(B102="High Street",1,0)</f>
        <v/>
      </c>
      <c r="L102" s="5">
        <f>IF(B102="Airport",1,0)</f>
        <v/>
      </c>
      <c r="M102" s="5">
        <f>IF(B102="Mall",1,0)</f>
        <v/>
      </c>
      <c r="N102" s="44">
        <f>$U$3+$U$4*E102+$U$5*F102+$U$6*G102+$U$7*H102+$U$8*I102+$U$9*J102+$U$10*K102+$U$11*L102+$U$12*M102</f>
        <v/>
      </c>
      <c r="O102" s="44">
        <f>D102-N102</f>
        <v/>
      </c>
      <c r="P102" s="44">
        <f>ABS(O102)</f>
        <v/>
      </c>
      <c r="Q102" s="5">
        <f>RANK(P102,$P$3:$P$308,1)</f>
        <v/>
      </c>
      <c r="R102" s="5">
        <f>IF(O102&gt;0,"Over-predicted","Under-predicted")</f>
        <v/>
      </c>
    </row>
    <row r="103">
      <c r="A103" s="6" t="inlineStr">
        <is>
          <t>STR-1027</t>
        </is>
      </c>
      <c r="B103" s="6" t="inlineStr">
        <is>
          <t>High Street</t>
        </is>
      </c>
      <c r="C103" s="6" t="inlineStr">
        <is>
          <t>West</t>
        </is>
      </c>
      <c r="D103" s="45" t="n">
        <v>727227.2</v>
      </c>
      <c r="E103" s="8" t="n">
        <v>7374</v>
      </c>
      <c r="F103" s="8" t="n">
        <v>57919.07</v>
      </c>
      <c r="G103" s="8" t="n">
        <v>82.3</v>
      </c>
      <c r="H103" s="8" t="n">
        <v>2.9</v>
      </c>
      <c r="I103" s="8" t="n">
        <v>0.103</v>
      </c>
      <c r="J103" s="8" t="n">
        <v>0</v>
      </c>
      <c r="K103" s="8">
        <f>IF(B103="High Street",1,0)</f>
        <v/>
      </c>
      <c r="L103" s="8">
        <f>IF(B103="Airport",1,0)</f>
        <v/>
      </c>
      <c r="M103" s="8">
        <f>IF(B103="Mall",1,0)</f>
        <v/>
      </c>
      <c r="N103" s="45">
        <f>$U$3+$U$4*E103+$U$5*F103+$U$6*G103+$U$7*H103+$U$8*I103+$U$9*J103+$U$10*K103+$U$11*L103+$U$12*M103</f>
        <v/>
      </c>
      <c r="O103" s="45">
        <f>D103-N103</f>
        <v/>
      </c>
      <c r="P103" s="45">
        <f>ABS(O103)</f>
        <v/>
      </c>
      <c r="Q103" s="8">
        <f>RANK(P103,$P$3:$P$308,1)</f>
        <v/>
      </c>
      <c r="R103" s="8">
        <f>IF(O103&gt;0,"Over-predicted","Under-predicted")</f>
        <v/>
      </c>
    </row>
    <row r="104">
      <c r="A104" s="2" t="inlineStr">
        <is>
          <t>STR-1027</t>
        </is>
      </c>
      <c r="B104" s="2" t="inlineStr">
        <is>
          <t>High Street</t>
        </is>
      </c>
      <c r="C104" s="2" t="inlineStr">
        <is>
          <t>West</t>
        </is>
      </c>
      <c r="D104" s="44" t="n">
        <v>783797.89</v>
      </c>
      <c r="E104" s="5" t="n">
        <v>8739</v>
      </c>
      <c r="F104" s="5" t="n">
        <v>74679.35000000001</v>
      </c>
      <c r="G104" s="5" t="n">
        <v>91.8</v>
      </c>
      <c r="H104" s="5" t="n">
        <v>3</v>
      </c>
      <c r="I104" s="5" t="n">
        <v>0.056</v>
      </c>
      <c r="J104" s="5" t="n">
        <v>0</v>
      </c>
      <c r="K104" s="5">
        <f>IF(B104="High Street",1,0)</f>
        <v/>
      </c>
      <c r="L104" s="5">
        <f>IF(B104="Airport",1,0)</f>
        <v/>
      </c>
      <c r="M104" s="5">
        <f>IF(B104="Mall",1,0)</f>
        <v/>
      </c>
      <c r="N104" s="44">
        <f>$U$3+$U$4*E104+$U$5*F104+$U$6*G104+$U$7*H104+$U$8*I104+$U$9*J104+$U$10*K104+$U$11*L104+$U$12*M104</f>
        <v/>
      </c>
      <c r="O104" s="44">
        <f>D104-N104</f>
        <v/>
      </c>
      <c r="P104" s="44">
        <f>ABS(O104)</f>
        <v/>
      </c>
      <c r="Q104" s="5">
        <f>RANK(P104,$P$3:$P$308,1)</f>
        <v/>
      </c>
      <c r="R104" s="5">
        <f>IF(O104&gt;0,"Over-predicted","Under-predicted")</f>
        <v/>
      </c>
    </row>
    <row r="105">
      <c r="A105" s="6" t="inlineStr">
        <is>
          <t>STR-1027</t>
        </is>
      </c>
      <c r="B105" s="6" t="inlineStr">
        <is>
          <t>High Street</t>
        </is>
      </c>
      <c r="C105" s="6" t="inlineStr">
        <is>
          <t>West</t>
        </is>
      </c>
      <c r="D105" s="45" t="n">
        <v>795153.84</v>
      </c>
      <c r="E105" s="8" t="n">
        <v>6992</v>
      </c>
      <c r="F105" s="8" t="n">
        <v>64294.23</v>
      </c>
      <c r="G105" s="8" t="n">
        <v>94.09999999999999</v>
      </c>
      <c r="H105" s="8" t="n">
        <v>3</v>
      </c>
      <c r="I105" s="8" t="n">
        <v>0.133</v>
      </c>
      <c r="J105" s="8" t="n">
        <v>0</v>
      </c>
      <c r="K105" s="8">
        <f>IF(B105="High Street",1,0)</f>
        <v/>
      </c>
      <c r="L105" s="8">
        <f>IF(B105="Airport",1,0)</f>
        <v/>
      </c>
      <c r="M105" s="8">
        <f>IF(B105="Mall",1,0)</f>
        <v/>
      </c>
      <c r="N105" s="45">
        <f>$U$3+$U$4*E105+$U$5*F105+$U$6*G105+$U$7*H105+$U$8*I105+$U$9*J105+$U$10*K105+$U$11*L105+$U$12*M105</f>
        <v/>
      </c>
      <c r="O105" s="45">
        <f>D105-N105</f>
        <v/>
      </c>
      <c r="P105" s="45">
        <f>ABS(O105)</f>
        <v/>
      </c>
      <c r="Q105" s="8">
        <f>RANK(P105,$P$3:$P$308,1)</f>
        <v/>
      </c>
      <c r="R105" s="8">
        <f>IF(O105&gt;0,"Over-predicted","Under-predicted")</f>
        <v/>
      </c>
    </row>
    <row r="106">
      <c r="A106" s="2" t="inlineStr">
        <is>
          <t>STR-1027</t>
        </is>
      </c>
      <c r="B106" s="2" t="inlineStr">
        <is>
          <t>High Street</t>
        </is>
      </c>
      <c r="C106" s="2" t="inlineStr">
        <is>
          <t>West</t>
        </is>
      </c>
      <c r="D106" s="44" t="n">
        <v>665594.9399999999</v>
      </c>
      <c r="E106" s="5" t="n">
        <v>7107</v>
      </c>
      <c r="F106" s="5" t="n">
        <v>31042.03</v>
      </c>
      <c r="G106" s="5" t="n">
        <v>87</v>
      </c>
      <c r="H106" s="5" t="n">
        <v>3.2</v>
      </c>
      <c r="I106" s="5" t="n">
        <v>0.051</v>
      </c>
      <c r="J106" s="5" t="n">
        <v>0</v>
      </c>
      <c r="K106" s="5">
        <f>IF(B106="High Street",1,0)</f>
        <v/>
      </c>
      <c r="L106" s="5">
        <f>IF(B106="Airport",1,0)</f>
        <v/>
      </c>
      <c r="M106" s="5">
        <f>IF(B106="Mall",1,0)</f>
        <v/>
      </c>
      <c r="N106" s="44">
        <f>$U$3+$U$4*E106+$U$5*F106+$U$6*G106+$U$7*H106+$U$8*I106+$U$9*J106+$U$10*K106+$U$11*L106+$U$12*M106</f>
        <v/>
      </c>
      <c r="O106" s="44">
        <f>D106-N106</f>
        <v/>
      </c>
      <c r="P106" s="44">
        <f>ABS(O106)</f>
        <v/>
      </c>
      <c r="Q106" s="5">
        <f>RANK(P106,$P$3:$P$308,1)</f>
        <v/>
      </c>
      <c r="R106" s="5">
        <f>IF(O106&gt;0,"Over-predicted","Under-predicted")</f>
        <v/>
      </c>
    </row>
    <row r="107">
      <c r="A107" s="6" t="inlineStr">
        <is>
          <t>STR-1028</t>
        </is>
      </c>
      <c r="B107" s="6" t="inlineStr">
        <is>
          <t>Mall</t>
        </is>
      </c>
      <c r="C107" s="6" t="inlineStr">
        <is>
          <t>East</t>
        </is>
      </c>
      <c r="D107" s="45" t="n">
        <v>709478.39</v>
      </c>
      <c r="E107" s="8" t="n">
        <v>6975</v>
      </c>
      <c r="F107" s="8" t="n">
        <v>75265.02</v>
      </c>
      <c r="G107" s="8" t="n">
        <v>73.8</v>
      </c>
      <c r="H107" s="8" t="n">
        <v>3.8</v>
      </c>
      <c r="I107" s="8" t="n">
        <v>0.157</v>
      </c>
      <c r="J107" s="8" t="n">
        <v>1</v>
      </c>
      <c r="K107" s="8">
        <f>IF(B107="High Street",1,0)</f>
        <v/>
      </c>
      <c r="L107" s="8">
        <f>IF(B107="Airport",1,0)</f>
        <v/>
      </c>
      <c r="M107" s="8">
        <f>IF(B107="Mall",1,0)</f>
        <v/>
      </c>
      <c r="N107" s="45">
        <f>$U$3+$U$4*E107+$U$5*F107+$U$6*G107+$U$7*H107+$U$8*I107+$U$9*J107+$U$10*K107+$U$11*L107+$U$12*M107</f>
        <v/>
      </c>
      <c r="O107" s="45">
        <f>D107-N107</f>
        <v/>
      </c>
      <c r="P107" s="45">
        <f>ABS(O107)</f>
        <v/>
      </c>
      <c r="Q107" s="8">
        <f>RANK(P107,$P$3:$P$308,1)</f>
        <v/>
      </c>
      <c r="R107" s="8">
        <f>IF(O107&gt;0,"Over-predicted","Under-predicted")</f>
        <v/>
      </c>
    </row>
    <row r="108">
      <c r="A108" s="2" t="inlineStr">
        <is>
          <t>STR-1028</t>
        </is>
      </c>
      <c r="B108" s="2" t="inlineStr">
        <is>
          <t>Mall</t>
        </is>
      </c>
      <c r="C108" s="2" t="inlineStr">
        <is>
          <t>East</t>
        </is>
      </c>
      <c r="D108" s="44" t="n">
        <v>664162.49</v>
      </c>
      <c r="E108" s="5" t="n">
        <v>5493</v>
      </c>
      <c r="F108" s="5" t="n">
        <v>69411.7</v>
      </c>
      <c r="G108" s="5" t="n">
        <v>86.5</v>
      </c>
      <c r="H108" s="5" t="n">
        <v>3.8</v>
      </c>
      <c r="I108" s="5" t="n">
        <v>0.292</v>
      </c>
      <c r="J108" s="5" t="n">
        <v>0</v>
      </c>
      <c r="K108" s="5">
        <f>IF(B108="High Street",1,0)</f>
        <v/>
      </c>
      <c r="L108" s="5">
        <f>IF(B108="Airport",1,0)</f>
        <v/>
      </c>
      <c r="M108" s="5">
        <f>IF(B108="Mall",1,0)</f>
        <v/>
      </c>
      <c r="N108" s="44">
        <f>$U$3+$U$4*E108+$U$5*F108+$U$6*G108+$U$7*H108+$U$8*I108+$U$9*J108+$U$10*K108+$U$11*L108+$U$12*M108</f>
        <v/>
      </c>
      <c r="O108" s="44">
        <f>D108-N108</f>
        <v/>
      </c>
      <c r="P108" s="44">
        <f>ABS(O108)</f>
        <v/>
      </c>
      <c r="Q108" s="5">
        <f>RANK(P108,$P$3:$P$308,1)</f>
        <v/>
      </c>
      <c r="R108" s="5">
        <f>IF(O108&gt;0,"Over-predicted","Under-predicted")</f>
        <v/>
      </c>
    </row>
    <row r="109">
      <c r="A109" s="6" t="inlineStr">
        <is>
          <t>STR-1028</t>
        </is>
      </c>
      <c r="B109" s="6" t="inlineStr">
        <is>
          <t>Mall</t>
        </is>
      </c>
      <c r="C109" s="6" t="inlineStr">
        <is>
          <t>East</t>
        </is>
      </c>
      <c r="D109" s="45" t="n">
        <v>633494.21</v>
      </c>
      <c r="E109" s="8" t="n">
        <v>5686</v>
      </c>
      <c r="F109" s="8" t="n">
        <v>51056.15</v>
      </c>
      <c r="G109" s="8" t="n">
        <v>89.90000000000001</v>
      </c>
      <c r="H109" s="8" t="n">
        <v>4.2</v>
      </c>
      <c r="I109" s="8" t="n">
        <v>0.089</v>
      </c>
      <c r="J109" s="8" t="n">
        <v>0</v>
      </c>
      <c r="K109" s="8">
        <f>IF(B109="High Street",1,0)</f>
        <v/>
      </c>
      <c r="L109" s="8">
        <f>IF(B109="Airport",1,0)</f>
        <v/>
      </c>
      <c r="M109" s="8">
        <f>IF(B109="Mall",1,0)</f>
        <v/>
      </c>
      <c r="N109" s="45">
        <f>$U$3+$U$4*E109+$U$5*F109+$U$6*G109+$U$7*H109+$U$8*I109+$U$9*J109+$U$10*K109+$U$11*L109+$U$12*M109</f>
        <v/>
      </c>
      <c r="O109" s="45">
        <f>D109-N109</f>
        <v/>
      </c>
      <c r="P109" s="45">
        <f>ABS(O109)</f>
        <v/>
      </c>
      <c r="Q109" s="8">
        <f>RANK(P109,$P$3:$P$308,1)</f>
        <v/>
      </c>
      <c r="R109" s="8">
        <f>IF(O109&gt;0,"Over-predicted","Under-predicted")</f>
        <v/>
      </c>
    </row>
    <row r="110">
      <c r="A110" s="2" t="inlineStr">
        <is>
          <t>STR-1028</t>
        </is>
      </c>
      <c r="B110" s="2" t="inlineStr">
        <is>
          <t>Mall</t>
        </is>
      </c>
      <c r="C110" s="2" t="inlineStr">
        <is>
          <t>East</t>
        </is>
      </c>
      <c r="D110" s="44" t="n">
        <v>713611.16</v>
      </c>
      <c r="E110" s="5" t="n">
        <v>4063</v>
      </c>
      <c r="F110" s="5" t="n">
        <v>52758.01</v>
      </c>
      <c r="G110" s="5" t="n">
        <v>91.7</v>
      </c>
      <c r="H110" s="5" t="n">
        <v>3.5</v>
      </c>
      <c r="I110" s="5" t="n">
        <v>0.057</v>
      </c>
      <c r="J110" s="5" t="n">
        <v>0</v>
      </c>
      <c r="K110" s="5">
        <f>IF(B110="High Street",1,0)</f>
        <v/>
      </c>
      <c r="L110" s="5">
        <f>IF(B110="Airport",1,0)</f>
        <v/>
      </c>
      <c r="M110" s="5">
        <f>IF(B110="Mall",1,0)</f>
        <v/>
      </c>
      <c r="N110" s="44">
        <f>$U$3+$U$4*E110+$U$5*F110+$U$6*G110+$U$7*H110+$U$8*I110+$U$9*J110+$U$10*K110+$U$11*L110+$U$12*M110</f>
        <v/>
      </c>
      <c r="O110" s="44">
        <f>D110-N110</f>
        <v/>
      </c>
      <c r="P110" s="44">
        <f>ABS(O110)</f>
        <v/>
      </c>
      <c r="Q110" s="5">
        <f>RANK(P110,$P$3:$P$308,1)</f>
        <v/>
      </c>
      <c r="R110" s="5">
        <f>IF(O110&gt;0,"Over-predicted","Under-predicted")</f>
        <v/>
      </c>
    </row>
    <row r="111">
      <c r="A111" s="6" t="inlineStr">
        <is>
          <t>STR-1029</t>
        </is>
      </c>
      <c r="B111" s="6" t="inlineStr">
        <is>
          <t>Mall</t>
        </is>
      </c>
      <c r="C111" s="6" t="inlineStr">
        <is>
          <t>West</t>
        </is>
      </c>
      <c r="D111" s="45" t="n">
        <v>778397.97</v>
      </c>
      <c r="E111" s="8" t="n">
        <v>8966</v>
      </c>
      <c r="F111" s="8" t="n">
        <v>61426.04</v>
      </c>
      <c r="G111" s="8" t="n">
        <v>76.40000000000001</v>
      </c>
      <c r="H111" s="8" t="n">
        <v>3.1</v>
      </c>
      <c r="I111" s="8" t="n">
        <v>0.173</v>
      </c>
      <c r="J111" s="8" t="n">
        <v>0</v>
      </c>
      <c r="K111" s="8">
        <f>IF(B111="High Street",1,0)</f>
        <v/>
      </c>
      <c r="L111" s="8">
        <f>IF(B111="Airport",1,0)</f>
        <v/>
      </c>
      <c r="M111" s="8">
        <f>IF(B111="Mall",1,0)</f>
        <v/>
      </c>
      <c r="N111" s="45">
        <f>$U$3+$U$4*E111+$U$5*F111+$U$6*G111+$U$7*H111+$U$8*I111+$U$9*J111+$U$10*K111+$U$11*L111+$U$12*M111</f>
        <v/>
      </c>
      <c r="O111" s="45">
        <f>D111-N111</f>
        <v/>
      </c>
      <c r="P111" s="45">
        <f>ABS(O111)</f>
        <v/>
      </c>
      <c r="Q111" s="8">
        <f>RANK(P111,$P$3:$P$308,1)</f>
        <v/>
      </c>
      <c r="R111" s="8">
        <f>IF(O111&gt;0,"Over-predicted","Under-predicted")</f>
        <v/>
      </c>
    </row>
    <row r="112">
      <c r="A112" s="2" t="inlineStr">
        <is>
          <t>STR-1029</t>
        </is>
      </c>
      <c r="B112" s="2" t="inlineStr">
        <is>
          <t>Mall</t>
        </is>
      </c>
      <c r="C112" s="2" t="inlineStr">
        <is>
          <t>West</t>
        </is>
      </c>
      <c r="D112" s="44" t="n">
        <v>873380.02</v>
      </c>
      <c r="E112" s="5" t="n">
        <v>9489</v>
      </c>
      <c r="F112" s="5" t="n">
        <v>80176.34</v>
      </c>
      <c r="G112" s="5" t="n">
        <v>94.3</v>
      </c>
      <c r="H112" s="5" t="n">
        <v>3.5</v>
      </c>
      <c r="I112" s="5" t="n">
        <v>0.142</v>
      </c>
      <c r="J112" s="5" t="n">
        <v>0</v>
      </c>
      <c r="K112" s="5">
        <f>IF(B112="High Street",1,0)</f>
        <v/>
      </c>
      <c r="L112" s="5">
        <f>IF(B112="Airport",1,0)</f>
        <v/>
      </c>
      <c r="M112" s="5">
        <f>IF(B112="Mall",1,0)</f>
        <v/>
      </c>
      <c r="N112" s="44">
        <f>$U$3+$U$4*E112+$U$5*F112+$U$6*G112+$U$7*H112+$U$8*I112+$U$9*J112+$U$10*K112+$U$11*L112+$U$12*M112</f>
        <v/>
      </c>
      <c r="O112" s="44">
        <f>D112-N112</f>
        <v/>
      </c>
      <c r="P112" s="44">
        <f>ABS(O112)</f>
        <v/>
      </c>
      <c r="Q112" s="5">
        <f>RANK(P112,$P$3:$P$308,1)</f>
        <v/>
      </c>
      <c r="R112" s="5">
        <f>IF(O112&gt;0,"Over-predicted","Under-predicted")</f>
        <v/>
      </c>
    </row>
    <row r="113">
      <c r="A113" s="6" t="inlineStr">
        <is>
          <t>STR-1029</t>
        </is>
      </c>
      <c r="B113" s="6" t="inlineStr">
        <is>
          <t>Mall</t>
        </is>
      </c>
      <c r="C113" s="6" t="inlineStr">
        <is>
          <t>West</t>
        </is>
      </c>
      <c r="D113" s="45" t="n">
        <v>697287.9</v>
      </c>
      <c r="E113" s="8" t="n">
        <v>9225</v>
      </c>
      <c r="F113" s="8" t="n">
        <v>33605.18</v>
      </c>
      <c r="G113" s="8" t="n">
        <v>88.40000000000001</v>
      </c>
      <c r="H113" s="8" t="n">
        <v>2.8</v>
      </c>
      <c r="I113" s="8" t="n">
        <v>0.159</v>
      </c>
      <c r="J113" s="8" t="n">
        <v>0</v>
      </c>
      <c r="K113" s="8">
        <f>IF(B113="High Street",1,0)</f>
        <v/>
      </c>
      <c r="L113" s="8">
        <f>IF(B113="Airport",1,0)</f>
        <v/>
      </c>
      <c r="M113" s="8">
        <f>IF(B113="Mall",1,0)</f>
        <v/>
      </c>
      <c r="N113" s="45">
        <f>$U$3+$U$4*E113+$U$5*F113+$U$6*G113+$U$7*H113+$U$8*I113+$U$9*J113+$U$10*K113+$U$11*L113+$U$12*M113</f>
        <v/>
      </c>
      <c r="O113" s="45">
        <f>D113-N113</f>
        <v/>
      </c>
      <c r="P113" s="45">
        <f>ABS(O113)</f>
        <v/>
      </c>
      <c r="Q113" s="8">
        <f>RANK(P113,$P$3:$P$308,1)</f>
        <v/>
      </c>
      <c r="R113" s="8">
        <f>IF(O113&gt;0,"Over-predicted","Under-predicted")</f>
        <v/>
      </c>
    </row>
    <row r="114">
      <c r="A114" s="2" t="inlineStr">
        <is>
          <t>STR-1029</t>
        </is>
      </c>
      <c r="B114" s="2" t="inlineStr">
        <is>
          <t>Mall</t>
        </is>
      </c>
      <c r="C114" s="2" t="inlineStr">
        <is>
          <t>West</t>
        </is>
      </c>
      <c r="D114" s="44" t="n">
        <v>718074.79</v>
      </c>
      <c r="E114" s="5" t="n">
        <v>9249</v>
      </c>
      <c r="F114" s="5" t="n">
        <v>25990.54</v>
      </c>
      <c r="G114" s="5" t="n">
        <v>92.5</v>
      </c>
      <c r="H114" s="5" t="n">
        <v>3.3</v>
      </c>
      <c r="I114" s="5" t="n">
        <v>0.139</v>
      </c>
      <c r="J114" s="5" t="n">
        <v>0</v>
      </c>
      <c r="K114" s="5">
        <f>IF(B114="High Street",1,0)</f>
        <v/>
      </c>
      <c r="L114" s="5">
        <f>IF(B114="Airport",1,0)</f>
        <v/>
      </c>
      <c r="M114" s="5">
        <f>IF(B114="Mall",1,0)</f>
        <v/>
      </c>
      <c r="N114" s="44">
        <f>$U$3+$U$4*E114+$U$5*F114+$U$6*G114+$U$7*H114+$U$8*I114+$U$9*J114+$U$10*K114+$U$11*L114+$U$12*M114</f>
        <v/>
      </c>
      <c r="O114" s="44">
        <f>D114-N114</f>
        <v/>
      </c>
      <c r="P114" s="44">
        <f>ABS(O114)</f>
        <v/>
      </c>
      <c r="Q114" s="5">
        <f>RANK(P114,$P$3:$P$308,1)</f>
        <v/>
      </c>
      <c r="R114" s="5">
        <f>IF(O114&gt;0,"Over-predicted","Under-predicted")</f>
        <v/>
      </c>
    </row>
    <row r="115">
      <c r="A115" s="6" t="inlineStr">
        <is>
          <t>STR-1030</t>
        </is>
      </c>
      <c r="B115" s="6" t="inlineStr">
        <is>
          <t>Residential</t>
        </is>
      </c>
      <c r="C115" s="6" t="inlineStr">
        <is>
          <t>West</t>
        </is>
      </c>
      <c r="D115" s="45" t="n">
        <v>714942.4300000001</v>
      </c>
      <c r="E115" s="8" t="n">
        <v>7821</v>
      </c>
      <c r="F115" s="8" t="n">
        <v>43685.14</v>
      </c>
      <c r="G115" s="8" t="n">
        <v>91</v>
      </c>
      <c r="H115" s="8" t="n">
        <v>4.7</v>
      </c>
      <c r="I115" s="8" t="n">
        <v>0.19</v>
      </c>
      <c r="J115" s="8" t="n">
        <v>1</v>
      </c>
      <c r="K115" s="8">
        <f>IF(B115="High Street",1,0)</f>
        <v/>
      </c>
      <c r="L115" s="8">
        <f>IF(B115="Airport",1,0)</f>
        <v/>
      </c>
      <c r="M115" s="8">
        <f>IF(B115="Mall",1,0)</f>
        <v/>
      </c>
      <c r="N115" s="45">
        <f>$U$3+$U$4*E115+$U$5*F115+$U$6*G115+$U$7*H115+$U$8*I115+$U$9*J115+$U$10*K115+$U$11*L115+$U$12*M115</f>
        <v/>
      </c>
      <c r="O115" s="45">
        <f>D115-N115</f>
        <v/>
      </c>
      <c r="P115" s="45">
        <f>ABS(O115)</f>
        <v/>
      </c>
      <c r="Q115" s="8">
        <f>RANK(P115,$P$3:$P$308,1)</f>
        <v/>
      </c>
      <c r="R115" s="8">
        <f>IF(O115&gt;0,"Over-predicted","Under-predicted")</f>
        <v/>
      </c>
    </row>
    <row r="116">
      <c r="A116" s="2" t="inlineStr">
        <is>
          <t>STR-1030</t>
        </is>
      </c>
      <c r="B116" s="2" t="inlineStr">
        <is>
          <t>Residential</t>
        </is>
      </c>
      <c r="C116" s="2" t="inlineStr">
        <is>
          <t>West</t>
        </is>
      </c>
      <c r="D116" s="44" t="n">
        <v>820519.04</v>
      </c>
      <c r="E116" s="5" t="n">
        <v>8434</v>
      </c>
      <c r="F116" s="5" t="n">
        <v>57360.01</v>
      </c>
      <c r="G116" s="5" t="n">
        <v>84.09999999999999</v>
      </c>
      <c r="H116" s="5" t="n">
        <v>4.7</v>
      </c>
      <c r="I116" s="5" t="n">
        <v>0.151</v>
      </c>
      <c r="J116" s="5" t="n">
        <v>0</v>
      </c>
      <c r="K116" s="5">
        <f>IF(B116="High Street",1,0)</f>
        <v/>
      </c>
      <c r="L116" s="5">
        <f>IF(B116="Airport",1,0)</f>
        <v/>
      </c>
      <c r="M116" s="5">
        <f>IF(B116="Mall",1,0)</f>
        <v/>
      </c>
      <c r="N116" s="44">
        <f>$U$3+$U$4*E116+$U$5*F116+$U$6*G116+$U$7*H116+$U$8*I116+$U$9*J116+$U$10*K116+$U$11*L116+$U$12*M116</f>
        <v/>
      </c>
      <c r="O116" s="44">
        <f>D116-N116</f>
        <v/>
      </c>
      <c r="P116" s="44">
        <f>ABS(O116)</f>
        <v/>
      </c>
      <c r="Q116" s="5">
        <f>RANK(P116,$P$3:$P$308,1)</f>
        <v/>
      </c>
      <c r="R116" s="5">
        <f>IF(O116&gt;0,"Over-predicted","Under-predicted")</f>
        <v/>
      </c>
    </row>
    <row r="117">
      <c r="A117" s="6" t="inlineStr">
        <is>
          <t>STR-1030</t>
        </is>
      </c>
      <c r="B117" s="6" t="inlineStr">
        <is>
          <t>Residential</t>
        </is>
      </c>
      <c r="C117" s="6" t="inlineStr">
        <is>
          <t>West</t>
        </is>
      </c>
      <c r="D117" s="45" t="n">
        <v>684217.3199999999</v>
      </c>
      <c r="E117" s="8" t="n">
        <v>8512</v>
      </c>
      <c r="F117" s="8" t="n">
        <v>42415.47</v>
      </c>
      <c r="G117" s="8" t="n">
        <v>96.8</v>
      </c>
      <c r="H117" s="8" t="n">
        <v>4.6</v>
      </c>
      <c r="I117" s="8" t="n">
        <v>0.133</v>
      </c>
      <c r="J117" s="8" t="n">
        <v>0</v>
      </c>
      <c r="K117" s="8">
        <f>IF(B117="High Street",1,0)</f>
        <v/>
      </c>
      <c r="L117" s="8">
        <f>IF(B117="Airport",1,0)</f>
        <v/>
      </c>
      <c r="M117" s="8">
        <f>IF(B117="Mall",1,0)</f>
        <v/>
      </c>
      <c r="N117" s="45">
        <f>$U$3+$U$4*E117+$U$5*F117+$U$6*G117+$U$7*H117+$U$8*I117+$U$9*J117+$U$10*K117+$U$11*L117+$U$12*M117</f>
        <v/>
      </c>
      <c r="O117" s="45">
        <f>D117-N117</f>
        <v/>
      </c>
      <c r="P117" s="45">
        <f>ABS(O117)</f>
        <v/>
      </c>
      <c r="Q117" s="8">
        <f>RANK(P117,$P$3:$P$308,1)</f>
        <v/>
      </c>
      <c r="R117" s="8">
        <f>IF(O117&gt;0,"Over-predicted","Under-predicted")</f>
        <v/>
      </c>
    </row>
    <row r="118">
      <c r="A118" s="2" t="inlineStr">
        <is>
          <t>STR-1030</t>
        </is>
      </c>
      <c r="B118" s="2" t="inlineStr">
        <is>
          <t>Residential</t>
        </is>
      </c>
      <c r="C118" s="2" t="inlineStr">
        <is>
          <t>West</t>
        </is>
      </c>
      <c r="D118" s="44" t="n">
        <v>735480.1899999999</v>
      </c>
      <c r="E118" s="5" t="n">
        <v>7816</v>
      </c>
      <c r="F118" s="5" t="n">
        <v>54968.98</v>
      </c>
      <c r="G118" s="5" t="n">
        <v>95.7</v>
      </c>
      <c r="H118" s="5" t="n">
        <v>4.7</v>
      </c>
      <c r="I118" s="5" t="n">
        <v>0.232</v>
      </c>
      <c r="J118" s="5" t="n">
        <v>0</v>
      </c>
      <c r="K118" s="5">
        <f>IF(B118="High Street",1,0)</f>
        <v/>
      </c>
      <c r="L118" s="5">
        <f>IF(B118="Airport",1,0)</f>
        <v/>
      </c>
      <c r="M118" s="5">
        <f>IF(B118="Mall",1,0)</f>
        <v/>
      </c>
      <c r="N118" s="44">
        <f>$U$3+$U$4*E118+$U$5*F118+$U$6*G118+$U$7*H118+$U$8*I118+$U$9*J118+$U$10*K118+$U$11*L118+$U$12*M118</f>
        <v/>
      </c>
      <c r="O118" s="44">
        <f>D118-N118</f>
        <v/>
      </c>
      <c r="P118" s="44">
        <f>ABS(O118)</f>
        <v/>
      </c>
      <c r="Q118" s="5">
        <f>RANK(P118,$P$3:$P$308,1)</f>
        <v/>
      </c>
      <c r="R118" s="5">
        <f>IF(O118&gt;0,"Over-predicted","Under-predicted")</f>
        <v/>
      </c>
    </row>
    <row r="119">
      <c r="A119" s="6" t="inlineStr">
        <is>
          <t>STR-1031</t>
        </is>
      </c>
      <c r="B119" s="6" t="inlineStr">
        <is>
          <t>High Street</t>
        </is>
      </c>
      <c r="C119" s="6" t="inlineStr">
        <is>
          <t>North</t>
        </is>
      </c>
      <c r="D119" s="45" t="n">
        <v>509484.81</v>
      </c>
      <c r="E119" s="8" t="n">
        <v>3853</v>
      </c>
      <c r="F119" s="8" t="n">
        <v>43896.13</v>
      </c>
      <c r="G119" s="8" t="n">
        <v>83</v>
      </c>
      <c r="H119" s="8" t="n">
        <v>4.4</v>
      </c>
      <c r="I119" s="8" t="n">
        <v>0.08799999999999999</v>
      </c>
      <c r="J119" s="8" t="n">
        <v>0</v>
      </c>
      <c r="K119" s="8">
        <f>IF(B119="High Street",1,0)</f>
        <v/>
      </c>
      <c r="L119" s="8">
        <f>IF(B119="Airport",1,0)</f>
        <v/>
      </c>
      <c r="M119" s="8">
        <f>IF(B119="Mall",1,0)</f>
        <v/>
      </c>
      <c r="N119" s="45">
        <f>$U$3+$U$4*E119+$U$5*F119+$U$6*G119+$U$7*H119+$U$8*I119+$U$9*J119+$U$10*K119+$U$11*L119+$U$12*M119</f>
        <v/>
      </c>
      <c r="O119" s="45">
        <f>D119-N119</f>
        <v/>
      </c>
      <c r="P119" s="45">
        <f>ABS(O119)</f>
        <v/>
      </c>
      <c r="Q119" s="8">
        <f>RANK(P119,$P$3:$P$308,1)</f>
        <v/>
      </c>
      <c r="R119" s="8">
        <f>IF(O119&gt;0,"Over-predicted","Under-predicted")</f>
        <v/>
      </c>
    </row>
    <row r="120">
      <c r="A120" s="2" t="inlineStr">
        <is>
          <t>STR-1031</t>
        </is>
      </c>
      <c r="B120" s="2" t="inlineStr">
        <is>
          <t>High Street</t>
        </is>
      </c>
      <c r="C120" s="2" t="inlineStr">
        <is>
          <t>North</t>
        </is>
      </c>
      <c r="D120" s="44" t="n">
        <v>654317.09</v>
      </c>
      <c r="E120" s="5" t="n">
        <v>3694</v>
      </c>
      <c r="F120" s="5" t="n">
        <v>83044.17</v>
      </c>
      <c r="G120" s="5" t="n">
        <v>89.40000000000001</v>
      </c>
      <c r="H120" s="5" t="n">
        <v>3.7</v>
      </c>
      <c r="I120" s="5" t="n">
        <v>0</v>
      </c>
      <c r="J120" s="5" t="n">
        <v>0</v>
      </c>
      <c r="K120" s="5">
        <f>IF(B120="High Street",1,0)</f>
        <v/>
      </c>
      <c r="L120" s="5">
        <f>IF(B120="Airport",1,0)</f>
        <v/>
      </c>
      <c r="M120" s="5">
        <f>IF(B120="Mall",1,0)</f>
        <v/>
      </c>
      <c r="N120" s="44">
        <f>$U$3+$U$4*E120+$U$5*F120+$U$6*G120+$U$7*H120+$U$8*I120+$U$9*J120+$U$10*K120+$U$11*L120+$U$12*M120</f>
        <v/>
      </c>
      <c r="O120" s="44">
        <f>D120-N120</f>
        <v/>
      </c>
      <c r="P120" s="44">
        <f>ABS(O120)</f>
        <v/>
      </c>
      <c r="Q120" s="5">
        <f>RANK(P120,$P$3:$P$308,1)</f>
        <v/>
      </c>
      <c r="R120" s="5">
        <f>IF(O120&gt;0,"Over-predicted","Under-predicted")</f>
        <v/>
      </c>
    </row>
    <row r="121">
      <c r="A121" s="6" t="inlineStr">
        <is>
          <t>STR-1031</t>
        </is>
      </c>
      <c r="B121" s="6" t="inlineStr">
        <is>
          <t>High Street</t>
        </is>
      </c>
      <c r="C121" s="6" t="inlineStr">
        <is>
          <t>North</t>
        </is>
      </c>
      <c r="D121" s="45" t="n">
        <v>557487.26</v>
      </c>
      <c r="E121" s="8" t="n">
        <v>4423</v>
      </c>
      <c r="F121" s="8" t="n">
        <v>48396.13</v>
      </c>
      <c r="G121" s="8" t="n">
        <v>85.7</v>
      </c>
      <c r="H121" s="8" t="n">
        <v>3.9</v>
      </c>
      <c r="I121" s="8" t="n">
        <v>0.06900000000000001</v>
      </c>
      <c r="J121" s="8" t="n">
        <v>0</v>
      </c>
      <c r="K121" s="8">
        <f>IF(B121="High Street",1,0)</f>
        <v/>
      </c>
      <c r="L121" s="8">
        <f>IF(B121="Airport",1,0)</f>
        <v/>
      </c>
      <c r="M121" s="8">
        <f>IF(B121="Mall",1,0)</f>
        <v/>
      </c>
      <c r="N121" s="45">
        <f>$U$3+$U$4*E121+$U$5*F121+$U$6*G121+$U$7*H121+$U$8*I121+$U$9*J121+$U$10*K121+$U$11*L121+$U$12*M121</f>
        <v/>
      </c>
      <c r="O121" s="45">
        <f>D121-N121</f>
        <v/>
      </c>
      <c r="P121" s="45">
        <f>ABS(O121)</f>
        <v/>
      </c>
      <c r="Q121" s="8">
        <f>RANK(P121,$P$3:$P$308,1)</f>
        <v/>
      </c>
      <c r="R121" s="8">
        <f>IF(O121&gt;0,"Over-predicted","Under-predicted")</f>
        <v/>
      </c>
    </row>
    <row r="122">
      <c r="A122" s="2" t="inlineStr">
        <is>
          <t>STR-1031</t>
        </is>
      </c>
      <c r="B122" s="2" t="inlineStr">
        <is>
          <t>High Street</t>
        </is>
      </c>
      <c r="C122" s="2" t="inlineStr">
        <is>
          <t>North</t>
        </is>
      </c>
      <c r="D122" s="44" t="n">
        <v>441275.42</v>
      </c>
      <c r="E122" s="5" t="n">
        <v>1906</v>
      </c>
      <c r="F122" s="5" t="n">
        <v>19063.48</v>
      </c>
      <c r="G122" s="5" t="n">
        <v>97.8</v>
      </c>
      <c r="H122" s="5" t="n">
        <v>4.4</v>
      </c>
      <c r="I122" s="5" t="n">
        <v>0.216</v>
      </c>
      <c r="J122" s="5" t="n">
        <v>0</v>
      </c>
      <c r="K122" s="5">
        <f>IF(B122="High Street",1,0)</f>
        <v/>
      </c>
      <c r="L122" s="5">
        <f>IF(B122="Airport",1,0)</f>
        <v/>
      </c>
      <c r="M122" s="5">
        <f>IF(B122="Mall",1,0)</f>
        <v/>
      </c>
      <c r="N122" s="44">
        <f>$U$3+$U$4*E122+$U$5*F122+$U$6*G122+$U$7*H122+$U$8*I122+$U$9*J122+$U$10*K122+$U$11*L122+$U$12*M122</f>
        <v/>
      </c>
      <c r="O122" s="44">
        <f>D122-N122</f>
        <v/>
      </c>
      <c r="P122" s="44">
        <f>ABS(O122)</f>
        <v/>
      </c>
      <c r="Q122" s="5">
        <f>RANK(P122,$P$3:$P$308,1)</f>
        <v/>
      </c>
      <c r="R122" s="5">
        <f>IF(O122&gt;0,"Over-predicted","Under-predicted")</f>
        <v/>
      </c>
    </row>
    <row r="123">
      <c r="A123" s="6" t="inlineStr">
        <is>
          <t>STR-1032</t>
        </is>
      </c>
      <c r="B123" s="6" t="inlineStr">
        <is>
          <t>High Street</t>
        </is>
      </c>
      <c r="C123" s="6" t="inlineStr">
        <is>
          <t>South</t>
        </is>
      </c>
      <c r="D123" s="45" t="n">
        <v>914544.17</v>
      </c>
      <c r="E123" s="8" t="n">
        <v>10396</v>
      </c>
      <c r="F123" s="8" t="n">
        <v>61541.21</v>
      </c>
      <c r="G123" s="8" t="n">
        <v>88.09999999999999</v>
      </c>
      <c r="H123" s="8" t="n">
        <v>4.8</v>
      </c>
      <c r="I123" s="8" t="n">
        <v>0.123</v>
      </c>
      <c r="J123" s="8" t="n">
        <v>1</v>
      </c>
      <c r="K123" s="8">
        <f>IF(B123="High Street",1,0)</f>
        <v/>
      </c>
      <c r="L123" s="8">
        <f>IF(B123="Airport",1,0)</f>
        <v/>
      </c>
      <c r="M123" s="8">
        <f>IF(B123="Mall",1,0)</f>
        <v/>
      </c>
      <c r="N123" s="45">
        <f>$U$3+$U$4*E123+$U$5*F123+$U$6*G123+$U$7*H123+$U$8*I123+$U$9*J123+$U$10*K123+$U$11*L123+$U$12*M123</f>
        <v/>
      </c>
      <c r="O123" s="45">
        <f>D123-N123</f>
        <v/>
      </c>
      <c r="P123" s="45">
        <f>ABS(O123)</f>
        <v/>
      </c>
      <c r="Q123" s="8">
        <f>RANK(P123,$P$3:$P$308,1)</f>
        <v/>
      </c>
      <c r="R123" s="8">
        <f>IF(O123&gt;0,"Over-predicted","Under-predicted")</f>
        <v/>
      </c>
    </row>
    <row r="124">
      <c r="A124" s="2" t="inlineStr">
        <is>
          <t>STR-1032</t>
        </is>
      </c>
      <c r="B124" s="2" t="inlineStr">
        <is>
          <t>High Street</t>
        </is>
      </c>
      <c r="C124" s="2" t="inlineStr">
        <is>
          <t>South</t>
        </is>
      </c>
      <c r="D124" s="44" t="n">
        <v>842439.67</v>
      </c>
      <c r="E124" s="5" t="n">
        <v>11076</v>
      </c>
      <c r="F124" s="5" t="n">
        <v>44747</v>
      </c>
      <c r="G124" s="5" t="n">
        <v>98.3</v>
      </c>
      <c r="H124" s="5" t="n">
        <v>4.4</v>
      </c>
      <c r="I124" s="5" t="n">
        <v>0.176</v>
      </c>
      <c r="J124" s="5" t="n">
        <v>0</v>
      </c>
      <c r="K124" s="5">
        <f>IF(B124="High Street",1,0)</f>
        <v/>
      </c>
      <c r="L124" s="5">
        <f>IF(B124="Airport",1,0)</f>
        <v/>
      </c>
      <c r="M124" s="5">
        <f>IF(B124="Mall",1,0)</f>
        <v/>
      </c>
      <c r="N124" s="44">
        <f>$U$3+$U$4*E124+$U$5*F124+$U$6*G124+$U$7*H124+$U$8*I124+$U$9*J124+$U$10*K124+$U$11*L124+$U$12*M124</f>
        <v/>
      </c>
      <c r="O124" s="44">
        <f>D124-N124</f>
        <v/>
      </c>
      <c r="P124" s="44">
        <f>ABS(O124)</f>
        <v/>
      </c>
      <c r="Q124" s="5">
        <f>RANK(P124,$P$3:$P$308,1)</f>
        <v/>
      </c>
      <c r="R124" s="5">
        <f>IF(O124&gt;0,"Over-predicted","Under-predicted")</f>
        <v/>
      </c>
    </row>
    <row r="125">
      <c r="A125" s="6" t="inlineStr">
        <is>
          <t>STR-1032</t>
        </is>
      </c>
      <c r="B125" s="6" t="inlineStr">
        <is>
          <t>High Street</t>
        </is>
      </c>
      <c r="C125" s="6" t="inlineStr">
        <is>
          <t>South</t>
        </is>
      </c>
      <c r="D125" s="45" t="n">
        <v>842157.92</v>
      </c>
      <c r="E125" s="8" t="n">
        <v>9574</v>
      </c>
      <c r="F125" s="8" t="n">
        <v>56517.9</v>
      </c>
      <c r="G125" s="8" t="n">
        <v>88.2</v>
      </c>
      <c r="H125" s="8" t="n">
        <v>4.9</v>
      </c>
      <c r="I125" s="8" t="n">
        <v>0.204</v>
      </c>
      <c r="J125" s="8" t="n">
        <v>1</v>
      </c>
      <c r="K125" s="8">
        <f>IF(B125="High Street",1,0)</f>
        <v/>
      </c>
      <c r="L125" s="8">
        <f>IF(B125="Airport",1,0)</f>
        <v/>
      </c>
      <c r="M125" s="8">
        <f>IF(B125="Mall",1,0)</f>
        <v/>
      </c>
      <c r="N125" s="45">
        <f>$U$3+$U$4*E125+$U$5*F125+$U$6*G125+$U$7*H125+$U$8*I125+$U$9*J125+$U$10*K125+$U$11*L125+$U$12*M125</f>
        <v/>
      </c>
      <c r="O125" s="45">
        <f>D125-N125</f>
        <v/>
      </c>
      <c r="P125" s="45">
        <f>ABS(O125)</f>
        <v/>
      </c>
      <c r="Q125" s="8">
        <f>RANK(P125,$P$3:$P$308,1)</f>
        <v/>
      </c>
      <c r="R125" s="8">
        <f>IF(O125&gt;0,"Over-predicted","Under-predicted")</f>
        <v/>
      </c>
    </row>
    <row r="126">
      <c r="A126" s="2" t="inlineStr">
        <is>
          <t>STR-1032</t>
        </is>
      </c>
      <c r="B126" s="2" t="inlineStr">
        <is>
          <t>High Street</t>
        </is>
      </c>
      <c r="C126" s="2" t="inlineStr">
        <is>
          <t>South</t>
        </is>
      </c>
      <c r="D126" s="44" t="n">
        <v>697155.3</v>
      </c>
      <c r="E126" s="5" t="n">
        <v>8221</v>
      </c>
      <c r="F126" s="5" t="n">
        <v>37828.5</v>
      </c>
      <c r="G126" s="5" t="n">
        <v>81.5</v>
      </c>
      <c r="H126" s="5" t="n">
        <v>4.8</v>
      </c>
      <c r="I126" s="5" t="n">
        <v>0.096</v>
      </c>
      <c r="J126" s="5" t="n">
        <v>0</v>
      </c>
      <c r="K126" s="5">
        <f>IF(B126="High Street",1,0)</f>
        <v/>
      </c>
      <c r="L126" s="5">
        <f>IF(B126="Airport",1,0)</f>
        <v/>
      </c>
      <c r="M126" s="5">
        <f>IF(B126="Mall",1,0)</f>
        <v/>
      </c>
      <c r="N126" s="44">
        <f>$U$3+$U$4*E126+$U$5*F126+$U$6*G126+$U$7*H126+$U$8*I126+$U$9*J126+$U$10*K126+$U$11*L126+$U$12*M126</f>
        <v/>
      </c>
      <c r="O126" s="44">
        <f>D126-N126</f>
        <v/>
      </c>
      <c r="P126" s="44">
        <f>ABS(O126)</f>
        <v/>
      </c>
      <c r="Q126" s="5">
        <f>RANK(P126,$P$3:$P$308,1)</f>
        <v/>
      </c>
      <c r="R126" s="5">
        <f>IF(O126&gt;0,"Over-predicted","Under-predicted")</f>
        <v/>
      </c>
    </row>
    <row r="127">
      <c r="A127" s="6" t="inlineStr">
        <is>
          <t>STR-1033</t>
        </is>
      </c>
      <c r="B127" s="6" t="inlineStr">
        <is>
          <t>High Street</t>
        </is>
      </c>
      <c r="C127" s="6" t="inlineStr">
        <is>
          <t>East</t>
        </is>
      </c>
      <c r="D127" s="45" t="n">
        <v>849018.3</v>
      </c>
      <c r="E127" s="8" t="n">
        <v>10618</v>
      </c>
      <c r="F127" s="8" t="n">
        <v>66250.53</v>
      </c>
      <c r="G127" s="8" t="n">
        <v>88.3</v>
      </c>
      <c r="H127" s="8" t="n">
        <v>4.4</v>
      </c>
      <c r="I127" s="8" t="n">
        <v>0.142</v>
      </c>
      <c r="J127" s="8" t="n">
        <v>1</v>
      </c>
      <c r="K127" s="8">
        <f>IF(B127="High Street",1,0)</f>
        <v/>
      </c>
      <c r="L127" s="8">
        <f>IF(B127="Airport",1,0)</f>
        <v/>
      </c>
      <c r="M127" s="8">
        <f>IF(B127="Mall",1,0)</f>
        <v/>
      </c>
      <c r="N127" s="45">
        <f>$U$3+$U$4*E127+$U$5*F127+$U$6*G127+$U$7*H127+$U$8*I127+$U$9*J127+$U$10*K127+$U$11*L127+$U$12*M127</f>
        <v/>
      </c>
      <c r="O127" s="45">
        <f>D127-N127</f>
        <v/>
      </c>
      <c r="P127" s="45">
        <f>ABS(O127)</f>
        <v/>
      </c>
      <c r="Q127" s="8">
        <f>RANK(P127,$P$3:$P$308,1)</f>
        <v/>
      </c>
      <c r="R127" s="8">
        <f>IF(O127&gt;0,"Over-predicted","Under-predicted")</f>
        <v/>
      </c>
    </row>
    <row r="128">
      <c r="A128" s="2" t="inlineStr">
        <is>
          <t>STR-1033</t>
        </is>
      </c>
      <c r="B128" s="2" t="inlineStr">
        <is>
          <t>High Street</t>
        </is>
      </c>
      <c r="C128" s="2" t="inlineStr">
        <is>
          <t>East</t>
        </is>
      </c>
      <c r="D128" s="44" t="n">
        <v>801830.35</v>
      </c>
      <c r="E128" s="5" t="n">
        <v>10596</v>
      </c>
      <c r="F128" s="5" t="n">
        <v>68410.92999999999</v>
      </c>
      <c r="G128" s="5" t="n">
        <v>81.2</v>
      </c>
      <c r="H128" s="5" t="n">
        <v>4</v>
      </c>
      <c r="I128" s="5" t="n">
        <v>0.207</v>
      </c>
      <c r="J128" s="5" t="n">
        <v>0</v>
      </c>
      <c r="K128" s="5">
        <f>IF(B128="High Street",1,0)</f>
        <v/>
      </c>
      <c r="L128" s="5">
        <f>IF(B128="Airport",1,0)</f>
        <v/>
      </c>
      <c r="M128" s="5">
        <f>IF(B128="Mall",1,0)</f>
        <v/>
      </c>
      <c r="N128" s="44">
        <f>$U$3+$U$4*E128+$U$5*F128+$U$6*G128+$U$7*H128+$U$8*I128+$U$9*J128+$U$10*K128+$U$11*L128+$U$12*M128</f>
        <v/>
      </c>
      <c r="O128" s="44">
        <f>D128-N128</f>
        <v/>
      </c>
      <c r="P128" s="44">
        <f>ABS(O128)</f>
        <v/>
      </c>
      <c r="Q128" s="5">
        <f>RANK(P128,$P$3:$P$308,1)</f>
        <v/>
      </c>
      <c r="R128" s="5">
        <f>IF(O128&gt;0,"Over-predicted","Under-predicted")</f>
        <v/>
      </c>
    </row>
    <row r="129">
      <c r="A129" s="6" t="inlineStr">
        <is>
          <t>STR-1033</t>
        </is>
      </c>
      <c r="B129" s="6" t="inlineStr">
        <is>
          <t>High Street</t>
        </is>
      </c>
      <c r="C129" s="6" t="inlineStr">
        <is>
          <t>East</t>
        </is>
      </c>
      <c r="D129" s="45" t="n">
        <v>725235.28</v>
      </c>
      <c r="E129" s="8" t="n">
        <v>9619</v>
      </c>
      <c r="F129" s="8" t="n">
        <v>50735.63</v>
      </c>
      <c r="G129" s="8" t="n">
        <v>93.8</v>
      </c>
      <c r="H129" s="8" t="n">
        <v>4.5</v>
      </c>
      <c r="I129" s="8" t="n">
        <v>0.144</v>
      </c>
      <c r="J129" s="8" t="n">
        <v>1</v>
      </c>
      <c r="K129" s="8">
        <f>IF(B129="High Street",1,0)</f>
        <v/>
      </c>
      <c r="L129" s="8">
        <f>IF(B129="Airport",1,0)</f>
        <v/>
      </c>
      <c r="M129" s="8">
        <f>IF(B129="Mall",1,0)</f>
        <v/>
      </c>
      <c r="N129" s="45">
        <f>$U$3+$U$4*E129+$U$5*F129+$U$6*G129+$U$7*H129+$U$8*I129+$U$9*J129+$U$10*K129+$U$11*L129+$U$12*M129</f>
        <v/>
      </c>
      <c r="O129" s="45">
        <f>D129-N129</f>
        <v/>
      </c>
      <c r="P129" s="45">
        <f>ABS(O129)</f>
        <v/>
      </c>
      <c r="Q129" s="8">
        <f>RANK(P129,$P$3:$P$308,1)</f>
        <v/>
      </c>
      <c r="R129" s="8">
        <f>IF(O129&gt;0,"Over-predicted","Under-predicted")</f>
        <v/>
      </c>
    </row>
    <row r="130">
      <c r="A130" s="2" t="inlineStr">
        <is>
          <t>STR-1033</t>
        </is>
      </c>
      <c r="B130" s="2" t="inlineStr">
        <is>
          <t>High Street</t>
        </is>
      </c>
      <c r="C130" s="2" t="inlineStr">
        <is>
          <t>East</t>
        </is>
      </c>
      <c r="D130" s="44" t="n">
        <v>811452.72</v>
      </c>
      <c r="E130" s="5" t="n">
        <v>10836</v>
      </c>
      <c r="F130" s="5" t="n">
        <v>66455.8</v>
      </c>
      <c r="G130" s="5" t="n">
        <v>85</v>
      </c>
      <c r="H130" s="5" t="n">
        <v>4.5</v>
      </c>
      <c r="I130" s="5" t="n">
        <v>0.089</v>
      </c>
      <c r="J130" s="5" t="n">
        <v>0</v>
      </c>
      <c r="K130" s="5">
        <f>IF(B130="High Street",1,0)</f>
        <v/>
      </c>
      <c r="L130" s="5">
        <f>IF(B130="Airport",1,0)</f>
        <v/>
      </c>
      <c r="M130" s="5">
        <f>IF(B130="Mall",1,0)</f>
        <v/>
      </c>
      <c r="N130" s="44">
        <f>$U$3+$U$4*E130+$U$5*F130+$U$6*G130+$U$7*H130+$U$8*I130+$U$9*J130+$U$10*K130+$U$11*L130+$U$12*M130</f>
        <v/>
      </c>
      <c r="O130" s="44">
        <f>D130-N130</f>
        <v/>
      </c>
      <c r="P130" s="44">
        <f>ABS(O130)</f>
        <v/>
      </c>
      <c r="Q130" s="5">
        <f>RANK(P130,$P$3:$P$308,1)</f>
        <v/>
      </c>
      <c r="R130" s="5">
        <f>IF(O130&gt;0,"Over-predicted","Under-predicted")</f>
        <v/>
      </c>
    </row>
    <row r="131">
      <c r="A131" s="6" t="inlineStr">
        <is>
          <t>STR-1034</t>
        </is>
      </c>
      <c r="B131" s="6" t="inlineStr">
        <is>
          <t>High Street</t>
        </is>
      </c>
      <c r="C131" s="6" t="inlineStr">
        <is>
          <t>North</t>
        </is>
      </c>
      <c r="D131" s="45" t="n">
        <v>527300.13</v>
      </c>
      <c r="E131" s="8" t="n">
        <v>3043</v>
      </c>
      <c r="F131" s="8" t="n">
        <v>70276.28</v>
      </c>
      <c r="G131" s="8" t="n">
        <v>87.90000000000001</v>
      </c>
      <c r="H131" s="8" t="n">
        <v>4.4</v>
      </c>
      <c r="I131" s="8" t="n">
        <v>0.079</v>
      </c>
      <c r="J131" s="8" t="n">
        <v>0</v>
      </c>
      <c r="K131" s="8">
        <f>IF(B131="High Street",1,0)</f>
        <v/>
      </c>
      <c r="L131" s="8">
        <f>IF(B131="Airport",1,0)</f>
        <v/>
      </c>
      <c r="M131" s="8">
        <f>IF(B131="Mall",1,0)</f>
        <v/>
      </c>
      <c r="N131" s="45">
        <f>$U$3+$U$4*E131+$U$5*F131+$U$6*G131+$U$7*H131+$U$8*I131+$U$9*J131+$U$10*K131+$U$11*L131+$U$12*M131</f>
        <v/>
      </c>
      <c r="O131" s="45">
        <f>D131-N131</f>
        <v/>
      </c>
      <c r="P131" s="45">
        <f>ABS(O131)</f>
        <v/>
      </c>
      <c r="Q131" s="8">
        <f>RANK(P131,$P$3:$P$308,1)</f>
        <v/>
      </c>
      <c r="R131" s="8">
        <f>IF(O131&gt;0,"Over-predicted","Under-predicted")</f>
        <v/>
      </c>
    </row>
    <row r="132">
      <c r="A132" s="2" t="inlineStr">
        <is>
          <t>STR-1034</t>
        </is>
      </c>
      <c r="B132" s="2" t="inlineStr">
        <is>
          <t>High Street</t>
        </is>
      </c>
      <c r="C132" s="2" t="inlineStr">
        <is>
          <t>North</t>
        </is>
      </c>
      <c r="D132" s="44" t="n">
        <v>593247.25</v>
      </c>
      <c r="E132" s="5" t="n">
        <v>3618</v>
      </c>
      <c r="F132" s="5" t="n">
        <v>52285.45</v>
      </c>
      <c r="G132" s="5" t="n">
        <v>95.59999999999999</v>
      </c>
      <c r="H132" s="5" t="n">
        <v>4.4</v>
      </c>
      <c r="I132" s="5" t="n">
        <v>0.08599999999999999</v>
      </c>
      <c r="J132" s="5" t="n">
        <v>1</v>
      </c>
      <c r="K132" s="5">
        <f>IF(B132="High Street",1,0)</f>
        <v/>
      </c>
      <c r="L132" s="5">
        <f>IF(B132="Airport",1,0)</f>
        <v/>
      </c>
      <c r="M132" s="5">
        <f>IF(B132="Mall",1,0)</f>
        <v/>
      </c>
      <c r="N132" s="44">
        <f>$U$3+$U$4*E132+$U$5*F132+$U$6*G132+$U$7*H132+$U$8*I132+$U$9*J132+$U$10*K132+$U$11*L132+$U$12*M132</f>
        <v/>
      </c>
      <c r="O132" s="44">
        <f>D132-N132</f>
        <v/>
      </c>
      <c r="P132" s="44">
        <f>ABS(O132)</f>
        <v/>
      </c>
      <c r="Q132" s="5">
        <f>RANK(P132,$P$3:$P$308,1)</f>
        <v/>
      </c>
      <c r="R132" s="5">
        <f>IF(O132&gt;0,"Over-predicted","Under-predicted")</f>
        <v/>
      </c>
    </row>
    <row r="133">
      <c r="A133" s="6" t="inlineStr">
        <is>
          <t>STR-1034</t>
        </is>
      </c>
      <c r="B133" s="6" t="inlineStr">
        <is>
          <t>High Street</t>
        </is>
      </c>
      <c r="C133" s="6" t="inlineStr">
        <is>
          <t>North</t>
        </is>
      </c>
      <c r="D133" s="45" t="n">
        <v>529075.95</v>
      </c>
      <c r="E133" s="8" t="n">
        <v>1963</v>
      </c>
      <c r="F133" s="8" t="n">
        <v>70366.75999999999</v>
      </c>
      <c r="G133" s="8" t="n">
        <v>89.8</v>
      </c>
      <c r="H133" s="8" t="n">
        <v>4.6</v>
      </c>
      <c r="I133" s="8" t="n">
        <v>0.182</v>
      </c>
      <c r="J133" s="8" t="n">
        <v>0</v>
      </c>
      <c r="K133" s="8">
        <f>IF(B133="High Street",1,0)</f>
        <v/>
      </c>
      <c r="L133" s="8">
        <f>IF(B133="Airport",1,0)</f>
        <v/>
      </c>
      <c r="M133" s="8">
        <f>IF(B133="Mall",1,0)</f>
        <v/>
      </c>
      <c r="N133" s="45">
        <f>$U$3+$U$4*E133+$U$5*F133+$U$6*G133+$U$7*H133+$U$8*I133+$U$9*J133+$U$10*K133+$U$11*L133+$U$12*M133</f>
        <v/>
      </c>
      <c r="O133" s="45">
        <f>D133-N133</f>
        <v/>
      </c>
      <c r="P133" s="45">
        <f>ABS(O133)</f>
        <v/>
      </c>
      <c r="Q133" s="8">
        <f>RANK(P133,$P$3:$P$308,1)</f>
        <v/>
      </c>
      <c r="R133" s="8">
        <f>IF(O133&gt;0,"Over-predicted","Under-predicted")</f>
        <v/>
      </c>
    </row>
    <row r="134">
      <c r="A134" s="2" t="inlineStr">
        <is>
          <t>STR-1035</t>
        </is>
      </c>
      <c r="B134" s="2" t="inlineStr">
        <is>
          <t>Residential</t>
        </is>
      </c>
      <c r="C134" s="2" t="inlineStr">
        <is>
          <t>South</t>
        </is>
      </c>
      <c r="D134" s="44" t="n">
        <v>743348.84</v>
      </c>
      <c r="E134" s="5" t="n">
        <v>6244</v>
      </c>
      <c r="F134" s="5" t="n">
        <v>75109.67</v>
      </c>
      <c r="G134" s="5" t="n">
        <v>96.3</v>
      </c>
      <c r="H134" s="5" t="n">
        <v>3.7</v>
      </c>
      <c r="I134" s="5" t="n">
        <v>0.079</v>
      </c>
      <c r="J134" s="5" t="n">
        <v>0</v>
      </c>
      <c r="K134" s="5">
        <f>IF(B134="High Street",1,0)</f>
        <v/>
      </c>
      <c r="L134" s="5">
        <f>IF(B134="Airport",1,0)</f>
        <v/>
      </c>
      <c r="M134" s="5">
        <f>IF(B134="Mall",1,0)</f>
        <v/>
      </c>
      <c r="N134" s="44">
        <f>$U$3+$U$4*E134+$U$5*F134+$U$6*G134+$U$7*H134+$U$8*I134+$U$9*J134+$U$10*K134+$U$11*L134+$U$12*M134</f>
        <v/>
      </c>
      <c r="O134" s="44">
        <f>D134-N134</f>
        <v/>
      </c>
      <c r="P134" s="44">
        <f>ABS(O134)</f>
        <v/>
      </c>
      <c r="Q134" s="5">
        <f>RANK(P134,$P$3:$P$308,1)</f>
        <v/>
      </c>
      <c r="R134" s="5">
        <f>IF(O134&gt;0,"Over-predicted","Under-predicted")</f>
        <v/>
      </c>
    </row>
    <row r="135">
      <c r="A135" s="6" t="inlineStr">
        <is>
          <t>STR-1035</t>
        </is>
      </c>
      <c r="B135" s="6" t="inlineStr">
        <is>
          <t>Residential</t>
        </is>
      </c>
      <c r="C135" s="6" t="inlineStr">
        <is>
          <t>South</t>
        </is>
      </c>
      <c r="D135" s="45" t="n">
        <v>758827.64</v>
      </c>
      <c r="E135" s="8" t="n">
        <v>6544</v>
      </c>
      <c r="F135" s="8" t="n">
        <v>69779</v>
      </c>
      <c r="G135" s="8" t="n">
        <v>90.2</v>
      </c>
      <c r="H135" s="8" t="n">
        <v>3.3</v>
      </c>
      <c r="I135" s="8" t="n">
        <v>0.152</v>
      </c>
      <c r="J135" s="8" t="n">
        <v>1</v>
      </c>
      <c r="K135" s="8">
        <f>IF(B135="High Street",1,0)</f>
        <v/>
      </c>
      <c r="L135" s="8">
        <f>IF(B135="Airport",1,0)</f>
        <v/>
      </c>
      <c r="M135" s="8">
        <f>IF(B135="Mall",1,0)</f>
        <v/>
      </c>
      <c r="N135" s="45">
        <f>$U$3+$U$4*E135+$U$5*F135+$U$6*G135+$U$7*H135+$U$8*I135+$U$9*J135+$U$10*K135+$U$11*L135+$U$12*M135</f>
        <v/>
      </c>
      <c r="O135" s="45">
        <f>D135-N135</f>
        <v/>
      </c>
      <c r="P135" s="45">
        <f>ABS(O135)</f>
        <v/>
      </c>
      <c r="Q135" s="8">
        <f>RANK(P135,$P$3:$P$308,1)</f>
        <v/>
      </c>
      <c r="R135" s="8">
        <f>IF(O135&gt;0,"Over-predicted","Under-predicted")</f>
        <v/>
      </c>
    </row>
    <row r="136">
      <c r="A136" s="2" t="inlineStr">
        <is>
          <t>STR-1035</t>
        </is>
      </c>
      <c r="B136" s="2" t="inlineStr">
        <is>
          <t>Residential</t>
        </is>
      </c>
      <c r="C136" s="2" t="inlineStr">
        <is>
          <t>South</t>
        </is>
      </c>
      <c r="D136" s="44" t="n">
        <v>646559.71</v>
      </c>
      <c r="E136" s="5" t="n">
        <v>5465</v>
      </c>
      <c r="F136" s="5" t="n">
        <v>44211.95</v>
      </c>
      <c r="G136" s="5" t="n">
        <v>90</v>
      </c>
      <c r="H136" s="5" t="n">
        <v>3.6</v>
      </c>
      <c r="I136" s="5" t="n">
        <v>0.187</v>
      </c>
      <c r="J136" s="5" t="n">
        <v>0</v>
      </c>
      <c r="K136" s="5">
        <f>IF(B136="High Street",1,0)</f>
        <v/>
      </c>
      <c r="L136" s="5">
        <f>IF(B136="Airport",1,0)</f>
        <v/>
      </c>
      <c r="M136" s="5">
        <f>IF(B136="Mall",1,0)</f>
        <v/>
      </c>
      <c r="N136" s="44">
        <f>$U$3+$U$4*E136+$U$5*F136+$U$6*G136+$U$7*H136+$U$8*I136+$U$9*J136+$U$10*K136+$U$11*L136+$U$12*M136</f>
        <v/>
      </c>
      <c r="O136" s="44">
        <f>D136-N136</f>
        <v/>
      </c>
      <c r="P136" s="44">
        <f>ABS(O136)</f>
        <v/>
      </c>
      <c r="Q136" s="5">
        <f>RANK(P136,$P$3:$P$308,1)</f>
        <v/>
      </c>
      <c r="R136" s="5">
        <f>IF(O136&gt;0,"Over-predicted","Under-predicted")</f>
        <v/>
      </c>
    </row>
    <row r="137">
      <c r="A137" s="6" t="inlineStr">
        <is>
          <t>STR-1036</t>
        </is>
      </c>
      <c r="B137" s="6" t="inlineStr">
        <is>
          <t>High Street</t>
        </is>
      </c>
      <c r="C137" s="6" t="inlineStr">
        <is>
          <t>West</t>
        </is>
      </c>
      <c r="D137" s="45" t="n">
        <v>715890.53</v>
      </c>
      <c r="E137" s="8" t="n">
        <v>6427</v>
      </c>
      <c r="F137" s="8" t="n">
        <v>51430.31</v>
      </c>
      <c r="G137" s="8" t="n">
        <v>88.8</v>
      </c>
      <c r="H137" s="8" t="n">
        <v>4.1</v>
      </c>
      <c r="I137" s="8" t="n">
        <v>0.234</v>
      </c>
      <c r="J137" s="8" t="n">
        <v>0</v>
      </c>
      <c r="K137" s="8">
        <f>IF(B137="High Street",1,0)</f>
        <v/>
      </c>
      <c r="L137" s="8">
        <f>IF(B137="Airport",1,0)</f>
        <v/>
      </c>
      <c r="M137" s="8">
        <f>IF(B137="Mall",1,0)</f>
        <v/>
      </c>
      <c r="N137" s="45">
        <f>$U$3+$U$4*E137+$U$5*F137+$U$6*G137+$U$7*H137+$U$8*I137+$U$9*J137+$U$10*K137+$U$11*L137+$U$12*M137</f>
        <v/>
      </c>
      <c r="O137" s="45">
        <f>D137-N137</f>
        <v/>
      </c>
      <c r="P137" s="45">
        <f>ABS(O137)</f>
        <v/>
      </c>
      <c r="Q137" s="8">
        <f>RANK(P137,$P$3:$P$308,1)</f>
        <v/>
      </c>
      <c r="R137" s="8">
        <f>IF(O137&gt;0,"Over-predicted","Under-predicted")</f>
        <v/>
      </c>
    </row>
    <row r="138">
      <c r="A138" s="2" t="inlineStr">
        <is>
          <t>STR-1036</t>
        </is>
      </c>
      <c r="B138" s="2" t="inlineStr">
        <is>
          <t>High Street</t>
        </is>
      </c>
      <c r="C138" s="2" t="inlineStr">
        <is>
          <t>West</t>
        </is>
      </c>
      <c r="D138" s="44" t="n">
        <v>715097.5699999999</v>
      </c>
      <c r="E138" s="5" t="n">
        <v>6704</v>
      </c>
      <c r="F138" s="5" t="n">
        <v>45706.49</v>
      </c>
      <c r="G138" s="5" t="n">
        <v>94.2</v>
      </c>
      <c r="H138" s="5" t="n">
        <v>4.2</v>
      </c>
      <c r="I138" s="5" t="n">
        <v>0.038</v>
      </c>
      <c r="J138" s="5" t="n">
        <v>0</v>
      </c>
      <c r="K138" s="5">
        <f>IF(B138="High Street",1,0)</f>
        <v/>
      </c>
      <c r="L138" s="5">
        <f>IF(B138="Airport",1,0)</f>
        <v/>
      </c>
      <c r="M138" s="5">
        <f>IF(B138="Mall",1,0)</f>
        <v/>
      </c>
      <c r="N138" s="44">
        <f>$U$3+$U$4*E138+$U$5*F138+$U$6*G138+$U$7*H138+$U$8*I138+$U$9*J138+$U$10*K138+$U$11*L138+$U$12*M138</f>
        <v/>
      </c>
      <c r="O138" s="44">
        <f>D138-N138</f>
        <v/>
      </c>
      <c r="P138" s="44">
        <f>ABS(O138)</f>
        <v/>
      </c>
      <c r="Q138" s="5">
        <f>RANK(P138,$P$3:$P$308,1)</f>
        <v/>
      </c>
      <c r="R138" s="5">
        <f>IF(O138&gt;0,"Over-predicted","Under-predicted")</f>
        <v/>
      </c>
    </row>
    <row r="139">
      <c r="A139" s="6" t="inlineStr">
        <is>
          <t>STR-1036</t>
        </is>
      </c>
      <c r="B139" s="6" t="inlineStr">
        <is>
          <t>High Street</t>
        </is>
      </c>
      <c r="C139" s="6" t="inlineStr">
        <is>
          <t>West</t>
        </is>
      </c>
      <c r="D139" s="45" t="n">
        <v>682639.28</v>
      </c>
      <c r="E139" s="8" t="n">
        <v>5645</v>
      </c>
      <c r="F139" s="8" t="n">
        <v>44034.6</v>
      </c>
      <c r="G139" s="8" t="n">
        <v>88.5</v>
      </c>
      <c r="H139" s="8" t="n">
        <v>3.8</v>
      </c>
      <c r="I139" s="8" t="n">
        <v>0.06900000000000001</v>
      </c>
      <c r="J139" s="8" t="n">
        <v>0</v>
      </c>
      <c r="K139" s="8">
        <f>IF(B139="High Street",1,0)</f>
        <v/>
      </c>
      <c r="L139" s="8">
        <f>IF(B139="Airport",1,0)</f>
        <v/>
      </c>
      <c r="M139" s="8">
        <f>IF(B139="Mall",1,0)</f>
        <v/>
      </c>
      <c r="N139" s="45">
        <f>$U$3+$U$4*E139+$U$5*F139+$U$6*G139+$U$7*H139+$U$8*I139+$U$9*J139+$U$10*K139+$U$11*L139+$U$12*M139</f>
        <v/>
      </c>
      <c r="O139" s="45">
        <f>D139-N139</f>
        <v/>
      </c>
      <c r="P139" s="45">
        <f>ABS(O139)</f>
        <v/>
      </c>
      <c r="Q139" s="8">
        <f>RANK(P139,$P$3:$P$308,1)</f>
        <v/>
      </c>
      <c r="R139" s="8">
        <f>IF(O139&gt;0,"Over-predicted","Under-predicted")</f>
        <v/>
      </c>
    </row>
    <row r="140">
      <c r="A140" s="2" t="inlineStr">
        <is>
          <t>STR-1036</t>
        </is>
      </c>
      <c r="B140" s="2" t="inlineStr">
        <is>
          <t>High Street</t>
        </is>
      </c>
      <c r="C140" s="2" t="inlineStr">
        <is>
          <t>West</t>
        </is>
      </c>
      <c r="D140" s="44" t="n">
        <v>695098.51</v>
      </c>
      <c r="E140" s="5" t="n">
        <v>6089</v>
      </c>
      <c r="F140" s="5" t="n">
        <v>50198.12</v>
      </c>
      <c r="G140" s="5" t="n">
        <v>94</v>
      </c>
      <c r="H140" s="5" t="n">
        <v>3.9</v>
      </c>
      <c r="I140" s="5" t="n">
        <v>0.182</v>
      </c>
      <c r="J140" s="5" t="n">
        <v>0</v>
      </c>
      <c r="K140" s="5">
        <f>IF(B140="High Street",1,0)</f>
        <v/>
      </c>
      <c r="L140" s="5">
        <f>IF(B140="Airport",1,0)</f>
        <v/>
      </c>
      <c r="M140" s="5">
        <f>IF(B140="Mall",1,0)</f>
        <v/>
      </c>
      <c r="N140" s="44">
        <f>$U$3+$U$4*E140+$U$5*F140+$U$6*G140+$U$7*H140+$U$8*I140+$U$9*J140+$U$10*K140+$U$11*L140+$U$12*M140</f>
        <v/>
      </c>
      <c r="O140" s="44">
        <f>D140-N140</f>
        <v/>
      </c>
      <c r="P140" s="44">
        <f>ABS(O140)</f>
        <v/>
      </c>
      <c r="Q140" s="5">
        <f>RANK(P140,$P$3:$P$308,1)</f>
        <v/>
      </c>
      <c r="R140" s="5">
        <f>IF(O140&gt;0,"Over-predicted","Under-predicted")</f>
        <v/>
      </c>
    </row>
    <row r="141">
      <c r="A141" s="6" t="inlineStr">
        <is>
          <t>STR-1037</t>
        </is>
      </c>
      <c r="B141" s="6" t="inlineStr">
        <is>
          <t>Residential</t>
        </is>
      </c>
      <c r="C141" s="6" t="inlineStr">
        <is>
          <t>North</t>
        </is>
      </c>
      <c r="D141" s="45" t="n">
        <v>577732.5699999999</v>
      </c>
      <c r="E141" s="8" t="n">
        <v>4312</v>
      </c>
      <c r="F141" s="8" t="n">
        <v>70488.2</v>
      </c>
      <c r="G141" s="8" t="n">
        <v>90.2</v>
      </c>
      <c r="H141" s="8" t="n">
        <v>3.2</v>
      </c>
      <c r="I141" s="8" t="n">
        <v>0.169</v>
      </c>
      <c r="J141" s="8" t="n">
        <v>0</v>
      </c>
      <c r="K141" s="8">
        <f>IF(B141="High Street",1,0)</f>
        <v/>
      </c>
      <c r="L141" s="8">
        <f>IF(B141="Airport",1,0)</f>
        <v/>
      </c>
      <c r="M141" s="8">
        <f>IF(B141="Mall",1,0)</f>
        <v/>
      </c>
      <c r="N141" s="45">
        <f>$U$3+$U$4*E141+$U$5*F141+$U$6*G141+$U$7*H141+$U$8*I141+$U$9*J141+$U$10*K141+$U$11*L141+$U$12*M141</f>
        <v/>
      </c>
      <c r="O141" s="45">
        <f>D141-N141</f>
        <v/>
      </c>
      <c r="P141" s="45">
        <f>ABS(O141)</f>
        <v/>
      </c>
      <c r="Q141" s="8">
        <f>RANK(P141,$P$3:$P$308,1)</f>
        <v/>
      </c>
      <c r="R141" s="8">
        <f>IF(O141&gt;0,"Over-predicted","Under-predicted")</f>
        <v/>
      </c>
    </row>
    <row r="142">
      <c r="A142" s="2" t="inlineStr">
        <is>
          <t>STR-1037</t>
        </is>
      </c>
      <c r="B142" s="2" t="inlineStr">
        <is>
          <t>Residential</t>
        </is>
      </c>
      <c r="C142" s="2" t="inlineStr">
        <is>
          <t>North</t>
        </is>
      </c>
      <c r="D142" s="44" t="n">
        <v>537058.33</v>
      </c>
      <c r="E142" s="5" t="n">
        <v>3152</v>
      </c>
      <c r="F142" s="5" t="n">
        <v>50909.27</v>
      </c>
      <c r="G142" s="5" t="n">
        <v>93.7</v>
      </c>
      <c r="H142" s="5" t="n">
        <v>3.5</v>
      </c>
      <c r="I142" s="5" t="n">
        <v>0.06</v>
      </c>
      <c r="J142" s="5" t="n">
        <v>0</v>
      </c>
      <c r="K142" s="5">
        <f>IF(B142="High Street",1,0)</f>
        <v/>
      </c>
      <c r="L142" s="5">
        <f>IF(B142="Airport",1,0)</f>
        <v/>
      </c>
      <c r="M142" s="5">
        <f>IF(B142="Mall",1,0)</f>
        <v/>
      </c>
      <c r="N142" s="44">
        <f>$U$3+$U$4*E142+$U$5*F142+$U$6*G142+$U$7*H142+$U$8*I142+$U$9*J142+$U$10*K142+$U$11*L142+$U$12*M142</f>
        <v/>
      </c>
      <c r="O142" s="44">
        <f>D142-N142</f>
        <v/>
      </c>
      <c r="P142" s="44">
        <f>ABS(O142)</f>
        <v/>
      </c>
      <c r="Q142" s="5">
        <f>RANK(P142,$P$3:$P$308,1)</f>
        <v/>
      </c>
      <c r="R142" s="5">
        <f>IF(O142&gt;0,"Over-predicted","Under-predicted")</f>
        <v/>
      </c>
    </row>
    <row r="143">
      <c r="A143" s="6" t="inlineStr">
        <is>
          <t>STR-1037</t>
        </is>
      </c>
      <c r="B143" s="6" t="inlineStr">
        <is>
          <t>Residential</t>
        </is>
      </c>
      <c r="C143" s="6" t="inlineStr">
        <is>
          <t>North</t>
        </is>
      </c>
      <c r="D143" s="45" t="n">
        <v>601568.87</v>
      </c>
      <c r="E143" s="8" t="n">
        <v>4259</v>
      </c>
      <c r="F143" s="8" t="n">
        <v>53351.7</v>
      </c>
      <c r="G143" s="8" t="n">
        <v>93.7</v>
      </c>
      <c r="H143" s="8" t="n">
        <v>3.4</v>
      </c>
      <c r="I143" s="8" t="n">
        <v>0.156</v>
      </c>
      <c r="J143" s="8" t="n">
        <v>0</v>
      </c>
      <c r="K143" s="8">
        <f>IF(B143="High Street",1,0)</f>
        <v/>
      </c>
      <c r="L143" s="8">
        <f>IF(B143="Airport",1,0)</f>
        <v/>
      </c>
      <c r="M143" s="8">
        <f>IF(B143="Mall",1,0)</f>
        <v/>
      </c>
      <c r="N143" s="45">
        <f>$U$3+$U$4*E143+$U$5*F143+$U$6*G143+$U$7*H143+$U$8*I143+$U$9*J143+$U$10*K143+$U$11*L143+$U$12*M143</f>
        <v/>
      </c>
      <c r="O143" s="45">
        <f>D143-N143</f>
        <v/>
      </c>
      <c r="P143" s="45">
        <f>ABS(O143)</f>
        <v/>
      </c>
      <c r="Q143" s="8">
        <f>RANK(P143,$P$3:$P$308,1)</f>
        <v/>
      </c>
      <c r="R143" s="8">
        <f>IF(O143&gt;0,"Over-predicted","Under-predicted")</f>
        <v/>
      </c>
    </row>
    <row r="144">
      <c r="A144" s="2" t="inlineStr">
        <is>
          <t>STR-1037</t>
        </is>
      </c>
      <c r="B144" s="2" t="inlineStr">
        <is>
          <t>Residential</t>
        </is>
      </c>
      <c r="C144" s="2" t="inlineStr">
        <is>
          <t>North</t>
        </is>
      </c>
      <c r="D144" s="44" t="n">
        <v>570964.84</v>
      </c>
      <c r="E144" s="5" t="n">
        <v>3350</v>
      </c>
      <c r="F144" s="5" t="n">
        <v>60322.4</v>
      </c>
      <c r="G144" s="5" t="n">
        <v>89.40000000000001</v>
      </c>
      <c r="H144" s="5" t="n">
        <v>3.4</v>
      </c>
      <c r="I144" s="5" t="n">
        <v>0.108</v>
      </c>
      <c r="J144" s="5" t="n">
        <v>0</v>
      </c>
      <c r="K144" s="5">
        <f>IF(B144="High Street",1,0)</f>
        <v/>
      </c>
      <c r="L144" s="5">
        <f>IF(B144="Airport",1,0)</f>
        <v/>
      </c>
      <c r="M144" s="5">
        <f>IF(B144="Mall",1,0)</f>
        <v/>
      </c>
      <c r="N144" s="44">
        <f>$U$3+$U$4*E144+$U$5*F144+$U$6*G144+$U$7*H144+$U$8*I144+$U$9*J144+$U$10*K144+$U$11*L144+$U$12*M144</f>
        <v/>
      </c>
      <c r="O144" s="44">
        <f>D144-N144</f>
        <v/>
      </c>
      <c r="P144" s="44">
        <f>ABS(O144)</f>
        <v/>
      </c>
      <c r="Q144" s="5">
        <f>RANK(P144,$P$3:$P$308,1)</f>
        <v/>
      </c>
      <c r="R144" s="5">
        <f>IF(O144&gt;0,"Over-predicted","Under-predicted")</f>
        <v/>
      </c>
    </row>
    <row r="145">
      <c r="A145" s="6" t="inlineStr">
        <is>
          <t>STR-1038</t>
        </is>
      </c>
      <c r="B145" s="6" t="inlineStr">
        <is>
          <t>Mall</t>
        </is>
      </c>
      <c r="C145" s="6" t="inlineStr">
        <is>
          <t>South</t>
        </is>
      </c>
      <c r="D145" s="45" t="n">
        <v>614024.91</v>
      </c>
      <c r="E145" s="8" t="n">
        <v>5329</v>
      </c>
      <c r="F145" s="8" t="n">
        <v>51575.68</v>
      </c>
      <c r="G145" s="8" t="n">
        <v>88.09999999999999</v>
      </c>
      <c r="H145" s="8" t="n">
        <v>3.8</v>
      </c>
      <c r="I145" s="8" t="n">
        <v>0.047</v>
      </c>
      <c r="J145" s="8" t="n">
        <v>0</v>
      </c>
      <c r="K145" s="8">
        <f>IF(B145="High Street",1,0)</f>
        <v/>
      </c>
      <c r="L145" s="8">
        <f>IF(B145="Airport",1,0)</f>
        <v/>
      </c>
      <c r="M145" s="8">
        <f>IF(B145="Mall",1,0)</f>
        <v/>
      </c>
      <c r="N145" s="45">
        <f>$U$3+$U$4*E145+$U$5*F145+$U$6*G145+$U$7*H145+$U$8*I145+$U$9*J145+$U$10*K145+$U$11*L145+$U$12*M145</f>
        <v/>
      </c>
      <c r="O145" s="45">
        <f>D145-N145</f>
        <v/>
      </c>
      <c r="P145" s="45">
        <f>ABS(O145)</f>
        <v/>
      </c>
      <c r="Q145" s="8">
        <f>RANK(P145,$P$3:$P$308,1)</f>
        <v/>
      </c>
      <c r="R145" s="8">
        <f>IF(O145&gt;0,"Over-predicted","Under-predicted")</f>
        <v/>
      </c>
    </row>
    <row r="146">
      <c r="A146" s="2" t="inlineStr">
        <is>
          <t>STR-1038</t>
        </is>
      </c>
      <c r="B146" s="2" t="inlineStr">
        <is>
          <t>Mall</t>
        </is>
      </c>
      <c r="C146" s="2" t="inlineStr">
        <is>
          <t>South</t>
        </is>
      </c>
      <c r="D146" s="44" t="n">
        <v>712868.35</v>
      </c>
      <c r="E146" s="5" t="n">
        <v>6551</v>
      </c>
      <c r="F146" s="5" t="n">
        <v>43319.94</v>
      </c>
      <c r="G146" s="5" t="n">
        <v>99</v>
      </c>
      <c r="H146" s="5" t="n">
        <v>4.1</v>
      </c>
      <c r="I146" s="5" t="n">
        <v>0.044</v>
      </c>
      <c r="J146" s="5" t="n">
        <v>0</v>
      </c>
      <c r="K146" s="5">
        <f>IF(B146="High Street",1,0)</f>
        <v/>
      </c>
      <c r="L146" s="5">
        <f>IF(B146="Airport",1,0)</f>
        <v/>
      </c>
      <c r="M146" s="5">
        <f>IF(B146="Mall",1,0)</f>
        <v/>
      </c>
      <c r="N146" s="44">
        <f>$U$3+$U$4*E146+$U$5*F146+$U$6*G146+$U$7*H146+$U$8*I146+$U$9*J146+$U$10*K146+$U$11*L146+$U$12*M146</f>
        <v/>
      </c>
      <c r="O146" s="44">
        <f>D146-N146</f>
        <v/>
      </c>
      <c r="P146" s="44">
        <f>ABS(O146)</f>
        <v/>
      </c>
      <c r="Q146" s="5">
        <f>RANK(P146,$P$3:$P$308,1)</f>
        <v/>
      </c>
      <c r="R146" s="5">
        <f>IF(O146&gt;0,"Over-predicted","Under-predicted")</f>
        <v/>
      </c>
    </row>
    <row r="147">
      <c r="A147" s="6" t="inlineStr">
        <is>
          <t>STR-1038</t>
        </is>
      </c>
      <c r="B147" s="6" t="inlineStr">
        <is>
          <t>Mall</t>
        </is>
      </c>
      <c r="C147" s="6" t="inlineStr">
        <is>
          <t>South</t>
        </is>
      </c>
      <c r="D147" s="45" t="n">
        <v>696744.15</v>
      </c>
      <c r="E147" s="8" t="n">
        <v>5550</v>
      </c>
      <c r="F147" s="8" t="n">
        <v>47093.55</v>
      </c>
      <c r="G147" s="8" t="n">
        <v>95</v>
      </c>
      <c r="H147" s="8" t="n">
        <v>3.7</v>
      </c>
      <c r="I147" s="8" t="n">
        <v>0.1</v>
      </c>
      <c r="J147" s="8" t="n">
        <v>1</v>
      </c>
      <c r="K147" s="8">
        <f>IF(B147="High Street",1,0)</f>
        <v/>
      </c>
      <c r="L147" s="8">
        <f>IF(B147="Airport",1,0)</f>
        <v/>
      </c>
      <c r="M147" s="8">
        <f>IF(B147="Mall",1,0)</f>
        <v/>
      </c>
      <c r="N147" s="45">
        <f>$U$3+$U$4*E147+$U$5*F147+$U$6*G147+$U$7*H147+$U$8*I147+$U$9*J147+$U$10*K147+$U$11*L147+$U$12*M147</f>
        <v/>
      </c>
      <c r="O147" s="45">
        <f>D147-N147</f>
        <v/>
      </c>
      <c r="P147" s="45">
        <f>ABS(O147)</f>
        <v/>
      </c>
      <c r="Q147" s="8">
        <f>RANK(P147,$P$3:$P$308,1)</f>
        <v/>
      </c>
      <c r="R147" s="8">
        <f>IF(O147&gt;0,"Over-predicted","Under-predicted")</f>
        <v/>
      </c>
    </row>
    <row r="148">
      <c r="A148" s="2" t="inlineStr">
        <is>
          <t>STR-1038</t>
        </is>
      </c>
      <c r="B148" s="2" t="inlineStr">
        <is>
          <t>Mall</t>
        </is>
      </c>
      <c r="C148" s="2" t="inlineStr">
        <is>
          <t>South</t>
        </is>
      </c>
      <c r="D148" s="44" t="n">
        <v>725847.99</v>
      </c>
      <c r="E148" s="5" t="n">
        <v>5911</v>
      </c>
      <c r="F148" s="5" t="n">
        <v>71855.09</v>
      </c>
      <c r="G148" s="5" t="n">
        <v>94.3</v>
      </c>
      <c r="H148" s="5" t="n">
        <v>4.1</v>
      </c>
      <c r="I148" s="5" t="n">
        <v>0.197</v>
      </c>
      <c r="J148" s="5" t="n">
        <v>0</v>
      </c>
      <c r="K148" s="5">
        <f>IF(B148="High Street",1,0)</f>
        <v/>
      </c>
      <c r="L148" s="5">
        <f>IF(B148="Airport",1,0)</f>
        <v/>
      </c>
      <c r="M148" s="5">
        <f>IF(B148="Mall",1,0)</f>
        <v/>
      </c>
      <c r="N148" s="44">
        <f>$U$3+$U$4*E148+$U$5*F148+$U$6*G148+$U$7*H148+$U$8*I148+$U$9*J148+$U$10*K148+$U$11*L148+$U$12*M148</f>
        <v/>
      </c>
      <c r="O148" s="44">
        <f>D148-N148</f>
        <v/>
      </c>
      <c r="P148" s="44">
        <f>ABS(O148)</f>
        <v/>
      </c>
      <c r="Q148" s="5">
        <f>RANK(P148,$P$3:$P$308,1)</f>
        <v/>
      </c>
      <c r="R148" s="5">
        <f>IF(O148&gt;0,"Over-predicted","Under-predicted")</f>
        <v/>
      </c>
    </row>
    <row r="149">
      <c r="A149" s="6" t="inlineStr">
        <is>
          <t>STR-1039</t>
        </is>
      </c>
      <c r="B149" s="6" t="inlineStr">
        <is>
          <t>High Street</t>
        </is>
      </c>
      <c r="C149" s="6" t="inlineStr">
        <is>
          <t>East</t>
        </is>
      </c>
      <c r="D149" s="45" t="n">
        <v>785028.25</v>
      </c>
      <c r="E149" s="8" t="n">
        <v>9674</v>
      </c>
      <c r="F149" s="8" t="n">
        <v>75645.23</v>
      </c>
      <c r="G149" s="8" t="n">
        <v>87.40000000000001</v>
      </c>
      <c r="H149" s="8" t="n">
        <v>4.5</v>
      </c>
      <c r="I149" s="8" t="n">
        <v>0.234</v>
      </c>
      <c r="J149" s="8" t="n">
        <v>0</v>
      </c>
      <c r="K149" s="8">
        <f>IF(B149="High Street",1,0)</f>
        <v/>
      </c>
      <c r="L149" s="8">
        <f>IF(B149="Airport",1,0)</f>
        <v/>
      </c>
      <c r="M149" s="8">
        <f>IF(B149="Mall",1,0)</f>
        <v/>
      </c>
      <c r="N149" s="45">
        <f>$U$3+$U$4*E149+$U$5*F149+$U$6*G149+$U$7*H149+$U$8*I149+$U$9*J149+$U$10*K149+$U$11*L149+$U$12*M149</f>
        <v/>
      </c>
      <c r="O149" s="45">
        <f>D149-N149</f>
        <v/>
      </c>
      <c r="P149" s="45">
        <f>ABS(O149)</f>
        <v/>
      </c>
      <c r="Q149" s="8">
        <f>RANK(P149,$P$3:$P$308,1)</f>
        <v/>
      </c>
      <c r="R149" s="8">
        <f>IF(O149&gt;0,"Over-predicted","Under-predicted")</f>
        <v/>
      </c>
    </row>
    <row r="150">
      <c r="A150" s="2" t="inlineStr">
        <is>
          <t>STR-1039</t>
        </is>
      </c>
      <c r="B150" s="2" t="inlineStr">
        <is>
          <t>High Street</t>
        </is>
      </c>
      <c r="C150" s="2" t="inlineStr">
        <is>
          <t>East</t>
        </is>
      </c>
      <c r="D150" s="44" t="n">
        <v>698492.67</v>
      </c>
      <c r="E150" s="5" t="n">
        <v>6740</v>
      </c>
      <c r="F150" s="5" t="n">
        <v>64374.75</v>
      </c>
      <c r="G150" s="5" t="n">
        <v>87</v>
      </c>
      <c r="H150" s="5" t="n">
        <v>4.2</v>
      </c>
      <c r="I150" s="5" t="n">
        <v>0.169</v>
      </c>
      <c r="J150" s="5" t="n">
        <v>0</v>
      </c>
      <c r="K150" s="5">
        <f>IF(B150="High Street",1,0)</f>
        <v/>
      </c>
      <c r="L150" s="5">
        <f>IF(B150="Airport",1,0)</f>
        <v/>
      </c>
      <c r="M150" s="5">
        <f>IF(B150="Mall",1,0)</f>
        <v/>
      </c>
      <c r="N150" s="44">
        <f>$U$3+$U$4*E150+$U$5*F150+$U$6*G150+$U$7*H150+$U$8*I150+$U$9*J150+$U$10*K150+$U$11*L150+$U$12*M150</f>
        <v/>
      </c>
      <c r="O150" s="44">
        <f>D150-N150</f>
        <v/>
      </c>
      <c r="P150" s="44">
        <f>ABS(O150)</f>
        <v/>
      </c>
      <c r="Q150" s="5">
        <f>RANK(P150,$P$3:$P$308,1)</f>
        <v/>
      </c>
      <c r="R150" s="5">
        <f>IF(O150&gt;0,"Over-predicted","Under-predicted")</f>
        <v/>
      </c>
    </row>
    <row r="151">
      <c r="A151" s="6" t="inlineStr">
        <is>
          <t>STR-1039</t>
        </is>
      </c>
      <c r="B151" s="6" t="inlineStr">
        <is>
          <t>High Street</t>
        </is>
      </c>
      <c r="C151" s="6" t="inlineStr">
        <is>
          <t>East</t>
        </is>
      </c>
      <c r="D151" s="45" t="n">
        <v>685830.24</v>
      </c>
      <c r="E151" s="8" t="n">
        <v>7745</v>
      </c>
      <c r="F151" s="8" t="n">
        <v>61433.84</v>
      </c>
      <c r="G151" s="8" t="n">
        <v>90.5</v>
      </c>
      <c r="H151" s="8" t="n">
        <v>4.2</v>
      </c>
      <c r="I151" s="8" t="n">
        <v>0.18</v>
      </c>
      <c r="J151" s="8" t="n">
        <v>0</v>
      </c>
      <c r="K151" s="8">
        <f>IF(B151="High Street",1,0)</f>
        <v/>
      </c>
      <c r="L151" s="8">
        <f>IF(B151="Airport",1,0)</f>
        <v/>
      </c>
      <c r="M151" s="8">
        <f>IF(B151="Mall",1,0)</f>
        <v/>
      </c>
      <c r="N151" s="45">
        <f>$U$3+$U$4*E151+$U$5*F151+$U$6*G151+$U$7*H151+$U$8*I151+$U$9*J151+$U$10*K151+$U$11*L151+$U$12*M151</f>
        <v/>
      </c>
      <c r="O151" s="45">
        <f>D151-N151</f>
        <v/>
      </c>
      <c r="P151" s="45">
        <f>ABS(O151)</f>
        <v/>
      </c>
      <c r="Q151" s="8">
        <f>RANK(P151,$P$3:$P$308,1)</f>
        <v/>
      </c>
      <c r="R151" s="8">
        <f>IF(O151&gt;0,"Over-predicted","Under-predicted")</f>
        <v/>
      </c>
    </row>
    <row r="152">
      <c r="A152" s="2" t="inlineStr">
        <is>
          <t>STR-1039</t>
        </is>
      </c>
      <c r="B152" s="2" t="inlineStr">
        <is>
          <t>High Street</t>
        </is>
      </c>
      <c r="C152" s="2" t="inlineStr">
        <is>
          <t>East</t>
        </is>
      </c>
      <c r="D152" s="44" t="n">
        <v>702318.9399999999</v>
      </c>
      <c r="E152" s="5" t="n">
        <v>7693</v>
      </c>
      <c r="F152" s="5" t="n">
        <v>42698.14</v>
      </c>
      <c r="G152" s="5" t="n">
        <v>90.09999999999999</v>
      </c>
      <c r="H152" s="5" t="n">
        <v>4.4</v>
      </c>
      <c r="I152" s="5" t="n">
        <v>0.187</v>
      </c>
      <c r="J152" s="5" t="n">
        <v>0</v>
      </c>
      <c r="K152" s="5">
        <f>IF(B152="High Street",1,0)</f>
        <v/>
      </c>
      <c r="L152" s="5">
        <f>IF(B152="Airport",1,0)</f>
        <v/>
      </c>
      <c r="M152" s="5">
        <f>IF(B152="Mall",1,0)</f>
        <v/>
      </c>
      <c r="N152" s="44">
        <f>$U$3+$U$4*E152+$U$5*F152+$U$6*G152+$U$7*H152+$U$8*I152+$U$9*J152+$U$10*K152+$U$11*L152+$U$12*M152</f>
        <v/>
      </c>
      <c r="O152" s="44">
        <f>D152-N152</f>
        <v/>
      </c>
      <c r="P152" s="44">
        <f>ABS(O152)</f>
        <v/>
      </c>
      <c r="Q152" s="5">
        <f>RANK(P152,$P$3:$P$308,1)</f>
        <v/>
      </c>
      <c r="R152" s="5">
        <f>IF(O152&gt;0,"Over-predicted","Under-predicted")</f>
        <v/>
      </c>
    </row>
    <row r="153">
      <c r="A153" s="6" t="inlineStr">
        <is>
          <t>STR-1040</t>
        </is>
      </c>
      <c r="B153" s="6" t="inlineStr">
        <is>
          <t>Mall</t>
        </is>
      </c>
      <c r="C153" s="6" t="inlineStr">
        <is>
          <t>North</t>
        </is>
      </c>
      <c r="D153" s="45" t="n">
        <v>700078.3199999999</v>
      </c>
      <c r="E153" s="8" t="n">
        <v>6424</v>
      </c>
      <c r="F153" s="8" t="n">
        <v>86883.31</v>
      </c>
      <c r="G153" s="8" t="n">
        <v>85.2</v>
      </c>
      <c r="H153" s="8" t="n">
        <v>3.9</v>
      </c>
      <c r="I153" s="8" t="n">
        <v>0.057</v>
      </c>
      <c r="J153" s="8" t="n">
        <v>0</v>
      </c>
      <c r="K153" s="8">
        <f>IF(B153="High Street",1,0)</f>
        <v/>
      </c>
      <c r="L153" s="8">
        <f>IF(B153="Airport",1,0)</f>
        <v/>
      </c>
      <c r="M153" s="8">
        <f>IF(B153="Mall",1,0)</f>
        <v/>
      </c>
      <c r="N153" s="45">
        <f>$U$3+$U$4*E153+$U$5*F153+$U$6*G153+$U$7*H153+$U$8*I153+$U$9*J153+$U$10*K153+$U$11*L153+$U$12*M153</f>
        <v/>
      </c>
      <c r="O153" s="45">
        <f>D153-N153</f>
        <v/>
      </c>
      <c r="P153" s="45">
        <f>ABS(O153)</f>
        <v/>
      </c>
      <c r="Q153" s="8">
        <f>RANK(P153,$P$3:$P$308,1)</f>
        <v/>
      </c>
      <c r="R153" s="8">
        <f>IF(O153&gt;0,"Over-predicted","Under-predicted")</f>
        <v/>
      </c>
    </row>
    <row r="154">
      <c r="A154" s="2" t="inlineStr">
        <is>
          <t>STR-1040</t>
        </is>
      </c>
      <c r="B154" s="2" t="inlineStr">
        <is>
          <t>Mall</t>
        </is>
      </c>
      <c r="C154" s="2" t="inlineStr">
        <is>
          <t>North</t>
        </is>
      </c>
      <c r="D154" s="44" t="n">
        <v>602002.3199999999</v>
      </c>
      <c r="E154" s="5" t="n">
        <v>5400</v>
      </c>
      <c r="F154" s="5" t="n">
        <v>41863.08</v>
      </c>
      <c r="G154" s="5" t="n">
        <v>91.59999999999999</v>
      </c>
      <c r="H154" s="5" t="n">
        <v>3</v>
      </c>
      <c r="I154" s="5" t="n">
        <v>0.114</v>
      </c>
      <c r="J154" s="5" t="n">
        <v>0</v>
      </c>
      <c r="K154" s="5">
        <f>IF(B154="High Street",1,0)</f>
        <v/>
      </c>
      <c r="L154" s="5">
        <f>IF(B154="Airport",1,0)</f>
        <v/>
      </c>
      <c r="M154" s="5">
        <f>IF(B154="Mall",1,0)</f>
        <v/>
      </c>
      <c r="N154" s="44">
        <f>$U$3+$U$4*E154+$U$5*F154+$U$6*G154+$U$7*H154+$U$8*I154+$U$9*J154+$U$10*K154+$U$11*L154+$U$12*M154</f>
        <v/>
      </c>
      <c r="O154" s="44">
        <f>D154-N154</f>
        <v/>
      </c>
      <c r="P154" s="44">
        <f>ABS(O154)</f>
        <v/>
      </c>
      <c r="Q154" s="5">
        <f>RANK(P154,$P$3:$P$308,1)</f>
        <v/>
      </c>
      <c r="R154" s="5">
        <f>IF(O154&gt;0,"Over-predicted","Under-predicted")</f>
        <v/>
      </c>
    </row>
    <row r="155">
      <c r="A155" s="6" t="inlineStr">
        <is>
          <t>STR-1040</t>
        </is>
      </c>
      <c r="B155" s="6" t="inlineStr">
        <is>
          <t>Mall</t>
        </is>
      </c>
      <c r="C155" s="6" t="inlineStr">
        <is>
          <t>North</t>
        </is>
      </c>
      <c r="D155" s="45" t="n">
        <v>724216.0699999999</v>
      </c>
      <c r="E155" s="8" t="n">
        <v>7015</v>
      </c>
      <c r="F155" s="8" t="n">
        <v>56918.16</v>
      </c>
      <c r="G155" s="8" t="n">
        <v>74.2</v>
      </c>
      <c r="H155" s="8" t="n">
        <v>3.4</v>
      </c>
      <c r="I155" s="8" t="n">
        <v>0.158</v>
      </c>
      <c r="J155" s="8" t="n">
        <v>0</v>
      </c>
      <c r="K155" s="8">
        <f>IF(B155="High Street",1,0)</f>
        <v/>
      </c>
      <c r="L155" s="8">
        <f>IF(B155="Airport",1,0)</f>
        <v/>
      </c>
      <c r="M155" s="8">
        <f>IF(B155="Mall",1,0)</f>
        <v/>
      </c>
      <c r="N155" s="45">
        <f>$U$3+$U$4*E155+$U$5*F155+$U$6*G155+$U$7*H155+$U$8*I155+$U$9*J155+$U$10*K155+$U$11*L155+$U$12*M155</f>
        <v/>
      </c>
      <c r="O155" s="45">
        <f>D155-N155</f>
        <v/>
      </c>
      <c r="P155" s="45">
        <f>ABS(O155)</f>
        <v/>
      </c>
      <c r="Q155" s="8">
        <f>RANK(P155,$P$3:$P$308,1)</f>
        <v/>
      </c>
      <c r="R155" s="8">
        <f>IF(O155&gt;0,"Over-predicted","Under-predicted")</f>
        <v/>
      </c>
    </row>
    <row r="156">
      <c r="A156" s="2" t="inlineStr">
        <is>
          <t>STR-1040</t>
        </is>
      </c>
      <c r="B156" s="2" t="inlineStr">
        <is>
          <t>Mall</t>
        </is>
      </c>
      <c r="C156" s="2" t="inlineStr">
        <is>
          <t>North</t>
        </is>
      </c>
      <c r="D156" s="44" t="n">
        <v>620973.03</v>
      </c>
      <c r="E156" s="5" t="n">
        <v>3847</v>
      </c>
      <c r="F156" s="5" t="n">
        <v>23254.57</v>
      </c>
      <c r="G156" s="5" t="n">
        <v>93</v>
      </c>
      <c r="H156" s="5" t="n">
        <v>3.3</v>
      </c>
      <c r="I156" s="5" t="n">
        <v>0.159</v>
      </c>
      <c r="J156" s="5" t="n">
        <v>0</v>
      </c>
      <c r="K156" s="5">
        <f>IF(B156="High Street",1,0)</f>
        <v/>
      </c>
      <c r="L156" s="5">
        <f>IF(B156="Airport",1,0)</f>
        <v/>
      </c>
      <c r="M156" s="5">
        <f>IF(B156="Mall",1,0)</f>
        <v/>
      </c>
      <c r="N156" s="44">
        <f>$U$3+$U$4*E156+$U$5*F156+$U$6*G156+$U$7*H156+$U$8*I156+$U$9*J156+$U$10*K156+$U$11*L156+$U$12*M156</f>
        <v/>
      </c>
      <c r="O156" s="44">
        <f>D156-N156</f>
        <v/>
      </c>
      <c r="P156" s="44">
        <f>ABS(O156)</f>
        <v/>
      </c>
      <c r="Q156" s="5">
        <f>RANK(P156,$P$3:$P$308,1)</f>
        <v/>
      </c>
      <c r="R156" s="5">
        <f>IF(O156&gt;0,"Over-predicted","Under-predicted")</f>
        <v/>
      </c>
    </row>
    <row r="157">
      <c r="A157" s="6" t="inlineStr">
        <is>
          <t>STR-1041</t>
        </is>
      </c>
      <c r="B157" s="6" t="inlineStr">
        <is>
          <t>High Street</t>
        </is>
      </c>
      <c r="C157" s="6" t="inlineStr">
        <is>
          <t>South</t>
        </is>
      </c>
      <c r="D157" s="45" t="n">
        <v>650480.0600000001</v>
      </c>
      <c r="E157" s="8" t="n">
        <v>7455</v>
      </c>
      <c r="F157" s="8" t="n">
        <v>41443.41</v>
      </c>
      <c r="G157" s="8" t="n">
        <v>90.09999999999999</v>
      </c>
      <c r="H157" s="8" t="n">
        <v>4</v>
      </c>
      <c r="I157" s="8" t="n">
        <v>0.175</v>
      </c>
      <c r="J157" s="8" t="n">
        <v>0</v>
      </c>
      <c r="K157" s="8">
        <f>IF(B157="High Street",1,0)</f>
        <v/>
      </c>
      <c r="L157" s="8">
        <f>IF(B157="Airport",1,0)</f>
        <v/>
      </c>
      <c r="M157" s="8">
        <f>IF(B157="Mall",1,0)</f>
        <v/>
      </c>
      <c r="N157" s="45">
        <f>$U$3+$U$4*E157+$U$5*F157+$U$6*G157+$U$7*H157+$U$8*I157+$U$9*J157+$U$10*K157+$U$11*L157+$U$12*M157</f>
        <v/>
      </c>
      <c r="O157" s="45">
        <f>D157-N157</f>
        <v/>
      </c>
      <c r="P157" s="45">
        <f>ABS(O157)</f>
        <v/>
      </c>
      <c r="Q157" s="8">
        <f>RANK(P157,$P$3:$P$308,1)</f>
        <v/>
      </c>
      <c r="R157" s="8">
        <f>IF(O157&gt;0,"Over-predicted","Under-predicted")</f>
        <v/>
      </c>
    </row>
    <row r="158">
      <c r="A158" s="2" t="inlineStr">
        <is>
          <t>STR-1041</t>
        </is>
      </c>
      <c r="B158" s="2" t="inlineStr">
        <is>
          <t>High Street</t>
        </is>
      </c>
      <c r="C158" s="2" t="inlineStr">
        <is>
          <t>South</t>
        </is>
      </c>
      <c r="D158" s="44" t="n">
        <v>778298.88</v>
      </c>
      <c r="E158" s="5" t="n">
        <v>6992</v>
      </c>
      <c r="F158" s="5" t="n">
        <v>48438.85</v>
      </c>
      <c r="G158" s="5" t="n">
        <v>91</v>
      </c>
      <c r="H158" s="5" t="n">
        <v>4.2</v>
      </c>
      <c r="I158" s="5" t="n">
        <v>0.034</v>
      </c>
      <c r="J158" s="5" t="n">
        <v>0</v>
      </c>
      <c r="K158" s="5">
        <f>IF(B158="High Street",1,0)</f>
        <v/>
      </c>
      <c r="L158" s="5">
        <f>IF(B158="Airport",1,0)</f>
        <v/>
      </c>
      <c r="M158" s="5">
        <f>IF(B158="Mall",1,0)</f>
        <v/>
      </c>
      <c r="N158" s="44">
        <f>$U$3+$U$4*E158+$U$5*F158+$U$6*G158+$U$7*H158+$U$8*I158+$U$9*J158+$U$10*K158+$U$11*L158+$U$12*M158</f>
        <v/>
      </c>
      <c r="O158" s="44">
        <f>D158-N158</f>
        <v/>
      </c>
      <c r="P158" s="44">
        <f>ABS(O158)</f>
        <v/>
      </c>
      <c r="Q158" s="5">
        <f>RANK(P158,$P$3:$P$308,1)</f>
        <v/>
      </c>
      <c r="R158" s="5">
        <f>IF(O158&gt;0,"Over-predicted","Under-predicted")</f>
        <v/>
      </c>
    </row>
    <row r="159">
      <c r="A159" s="6" t="inlineStr">
        <is>
          <t>STR-1041</t>
        </is>
      </c>
      <c r="B159" s="6" t="inlineStr">
        <is>
          <t>High Street</t>
        </is>
      </c>
      <c r="C159" s="6" t="inlineStr">
        <is>
          <t>South</t>
        </is>
      </c>
      <c r="D159" s="45" t="n">
        <v>692008.64</v>
      </c>
      <c r="E159" s="8" t="n">
        <v>6055</v>
      </c>
      <c r="F159" s="8" t="n">
        <v>66870.62</v>
      </c>
      <c r="G159" s="8" t="n">
        <v>93.8</v>
      </c>
      <c r="H159" s="8" t="n">
        <v>4.3</v>
      </c>
      <c r="I159" s="8" t="n">
        <v>0.075</v>
      </c>
      <c r="J159" s="8" t="n">
        <v>0</v>
      </c>
      <c r="K159" s="8">
        <f>IF(B159="High Street",1,0)</f>
        <v/>
      </c>
      <c r="L159" s="8">
        <f>IF(B159="Airport",1,0)</f>
        <v/>
      </c>
      <c r="M159" s="8">
        <f>IF(B159="Mall",1,0)</f>
        <v/>
      </c>
      <c r="N159" s="45">
        <f>$U$3+$U$4*E159+$U$5*F159+$U$6*G159+$U$7*H159+$U$8*I159+$U$9*J159+$U$10*K159+$U$11*L159+$U$12*M159</f>
        <v/>
      </c>
      <c r="O159" s="45">
        <f>D159-N159</f>
        <v/>
      </c>
      <c r="P159" s="45">
        <f>ABS(O159)</f>
        <v/>
      </c>
      <c r="Q159" s="8">
        <f>RANK(P159,$P$3:$P$308,1)</f>
        <v/>
      </c>
      <c r="R159" s="8">
        <f>IF(O159&gt;0,"Over-predicted","Under-predicted")</f>
        <v/>
      </c>
    </row>
    <row r="160">
      <c r="A160" s="2" t="inlineStr">
        <is>
          <t>STR-1042</t>
        </is>
      </c>
      <c r="B160" s="2" t="inlineStr">
        <is>
          <t>Mall</t>
        </is>
      </c>
      <c r="C160" s="2" t="inlineStr">
        <is>
          <t>North</t>
        </is>
      </c>
      <c r="D160" s="44" t="n">
        <v>825797.91</v>
      </c>
      <c r="E160" s="5" t="n">
        <v>9323</v>
      </c>
      <c r="F160" s="5" t="n">
        <v>72150.53</v>
      </c>
      <c r="G160" s="5" t="n">
        <v>82.90000000000001</v>
      </c>
      <c r="H160" s="5" t="n">
        <v>4.3</v>
      </c>
      <c r="I160" s="5" t="n">
        <v>0.157</v>
      </c>
      <c r="J160" s="5" t="n">
        <v>1</v>
      </c>
      <c r="K160" s="5">
        <f>IF(B160="High Street",1,0)</f>
        <v/>
      </c>
      <c r="L160" s="5">
        <f>IF(B160="Airport",1,0)</f>
        <v/>
      </c>
      <c r="M160" s="5">
        <f>IF(B160="Mall",1,0)</f>
        <v/>
      </c>
      <c r="N160" s="44">
        <f>$U$3+$U$4*E160+$U$5*F160+$U$6*G160+$U$7*H160+$U$8*I160+$U$9*J160+$U$10*K160+$U$11*L160+$U$12*M160</f>
        <v/>
      </c>
      <c r="O160" s="44">
        <f>D160-N160</f>
        <v/>
      </c>
      <c r="P160" s="44">
        <f>ABS(O160)</f>
        <v/>
      </c>
      <c r="Q160" s="5">
        <f>RANK(P160,$P$3:$P$308,1)</f>
        <v/>
      </c>
      <c r="R160" s="5">
        <f>IF(O160&gt;0,"Over-predicted","Under-predicted")</f>
        <v/>
      </c>
    </row>
    <row r="161">
      <c r="A161" s="6" t="inlineStr">
        <is>
          <t>STR-1042</t>
        </is>
      </c>
      <c r="B161" s="6" t="inlineStr">
        <is>
          <t>Mall</t>
        </is>
      </c>
      <c r="C161" s="6" t="inlineStr">
        <is>
          <t>North</t>
        </is>
      </c>
      <c r="D161" s="45" t="n">
        <v>706285.52</v>
      </c>
      <c r="E161" s="8" t="n">
        <v>8789</v>
      </c>
      <c r="F161" s="8" t="n">
        <v>35303.3</v>
      </c>
      <c r="G161" s="8" t="n">
        <v>86.09999999999999</v>
      </c>
      <c r="H161" s="8" t="n">
        <v>4.2</v>
      </c>
      <c r="I161" s="8" t="n">
        <v>0.123</v>
      </c>
      <c r="J161" s="8" t="n">
        <v>0</v>
      </c>
      <c r="K161" s="8">
        <f>IF(B161="High Street",1,0)</f>
        <v/>
      </c>
      <c r="L161" s="8">
        <f>IF(B161="Airport",1,0)</f>
        <v/>
      </c>
      <c r="M161" s="8">
        <f>IF(B161="Mall",1,0)</f>
        <v/>
      </c>
      <c r="N161" s="45">
        <f>$U$3+$U$4*E161+$U$5*F161+$U$6*G161+$U$7*H161+$U$8*I161+$U$9*J161+$U$10*K161+$U$11*L161+$U$12*M161</f>
        <v/>
      </c>
      <c r="O161" s="45">
        <f>D161-N161</f>
        <v/>
      </c>
      <c r="P161" s="45">
        <f>ABS(O161)</f>
        <v/>
      </c>
      <c r="Q161" s="8">
        <f>RANK(P161,$P$3:$P$308,1)</f>
        <v/>
      </c>
      <c r="R161" s="8">
        <f>IF(O161&gt;0,"Over-predicted","Under-predicted")</f>
        <v/>
      </c>
    </row>
    <row r="162">
      <c r="A162" s="2" t="inlineStr">
        <is>
          <t>STR-1042</t>
        </is>
      </c>
      <c r="B162" s="2" t="inlineStr">
        <is>
          <t>Mall</t>
        </is>
      </c>
      <c r="C162" s="2" t="inlineStr">
        <is>
          <t>North</t>
        </is>
      </c>
      <c r="D162" s="44" t="n">
        <v>665534.7</v>
      </c>
      <c r="E162" s="5" t="n">
        <v>6939</v>
      </c>
      <c r="F162" s="5" t="n">
        <v>30301.86</v>
      </c>
      <c r="G162" s="5" t="n">
        <v>90.3</v>
      </c>
      <c r="H162" s="5" t="n">
        <v>4</v>
      </c>
      <c r="I162" s="5" t="n">
        <v>0.09</v>
      </c>
      <c r="J162" s="5" t="n">
        <v>0</v>
      </c>
      <c r="K162" s="5">
        <f>IF(B162="High Street",1,0)</f>
        <v/>
      </c>
      <c r="L162" s="5">
        <f>IF(B162="Airport",1,0)</f>
        <v/>
      </c>
      <c r="M162" s="5">
        <f>IF(B162="Mall",1,0)</f>
        <v/>
      </c>
      <c r="N162" s="44">
        <f>$U$3+$U$4*E162+$U$5*F162+$U$6*G162+$U$7*H162+$U$8*I162+$U$9*J162+$U$10*K162+$U$11*L162+$U$12*M162</f>
        <v/>
      </c>
      <c r="O162" s="44">
        <f>D162-N162</f>
        <v/>
      </c>
      <c r="P162" s="44">
        <f>ABS(O162)</f>
        <v/>
      </c>
      <c r="Q162" s="5">
        <f>RANK(P162,$P$3:$P$308,1)</f>
        <v/>
      </c>
      <c r="R162" s="5">
        <f>IF(O162&gt;0,"Over-predicted","Under-predicted")</f>
        <v/>
      </c>
    </row>
    <row r="163">
      <c r="A163" s="6" t="inlineStr">
        <is>
          <t>STR-1042</t>
        </is>
      </c>
      <c r="B163" s="6" t="inlineStr">
        <is>
          <t>Mall</t>
        </is>
      </c>
      <c r="C163" s="6" t="inlineStr">
        <is>
          <t>North</t>
        </is>
      </c>
      <c r="D163" s="45" t="n">
        <v>820729.29</v>
      </c>
      <c r="E163" s="8" t="n">
        <v>9440</v>
      </c>
      <c r="F163" s="8" t="n">
        <v>78432.14</v>
      </c>
      <c r="G163" s="8" t="n">
        <v>89.2</v>
      </c>
      <c r="H163" s="8" t="n">
        <v>4.1</v>
      </c>
      <c r="I163" s="8" t="n">
        <v>0.126</v>
      </c>
      <c r="J163" s="8" t="n">
        <v>0</v>
      </c>
      <c r="K163" s="8">
        <f>IF(B163="High Street",1,0)</f>
        <v/>
      </c>
      <c r="L163" s="8">
        <f>IF(B163="Airport",1,0)</f>
        <v/>
      </c>
      <c r="M163" s="8">
        <f>IF(B163="Mall",1,0)</f>
        <v/>
      </c>
      <c r="N163" s="45">
        <f>$U$3+$U$4*E163+$U$5*F163+$U$6*G163+$U$7*H163+$U$8*I163+$U$9*J163+$U$10*K163+$U$11*L163+$U$12*M163</f>
        <v/>
      </c>
      <c r="O163" s="45">
        <f>D163-N163</f>
        <v/>
      </c>
      <c r="P163" s="45">
        <f>ABS(O163)</f>
        <v/>
      </c>
      <c r="Q163" s="8">
        <f>RANK(P163,$P$3:$P$308,1)</f>
        <v/>
      </c>
      <c r="R163" s="8">
        <f>IF(O163&gt;0,"Over-predicted","Under-predicted")</f>
        <v/>
      </c>
    </row>
    <row r="164">
      <c r="A164" s="2" t="inlineStr">
        <is>
          <t>STR-1043</t>
        </is>
      </c>
      <c r="B164" s="2" t="inlineStr">
        <is>
          <t>Residential</t>
        </is>
      </c>
      <c r="C164" s="2" t="inlineStr">
        <is>
          <t>East</t>
        </is>
      </c>
      <c r="D164" s="44" t="n">
        <v>739831.73</v>
      </c>
      <c r="E164" s="5" t="n">
        <v>9374</v>
      </c>
      <c r="F164" s="5" t="n">
        <v>62059.18</v>
      </c>
      <c r="G164" s="5" t="n">
        <v>87.09999999999999</v>
      </c>
      <c r="H164" s="5" t="n">
        <v>4.9</v>
      </c>
      <c r="I164" s="5" t="n">
        <v>0.136</v>
      </c>
      <c r="J164" s="5" t="n">
        <v>0</v>
      </c>
      <c r="K164" s="5">
        <f>IF(B164="High Street",1,0)</f>
        <v/>
      </c>
      <c r="L164" s="5">
        <f>IF(B164="Airport",1,0)</f>
        <v/>
      </c>
      <c r="M164" s="5">
        <f>IF(B164="Mall",1,0)</f>
        <v/>
      </c>
      <c r="N164" s="44">
        <f>$U$3+$U$4*E164+$U$5*F164+$U$6*G164+$U$7*H164+$U$8*I164+$U$9*J164+$U$10*K164+$U$11*L164+$U$12*M164</f>
        <v/>
      </c>
      <c r="O164" s="44">
        <f>D164-N164</f>
        <v/>
      </c>
      <c r="P164" s="44">
        <f>ABS(O164)</f>
        <v/>
      </c>
      <c r="Q164" s="5">
        <f>RANK(P164,$P$3:$P$308,1)</f>
        <v/>
      </c>
      <c r="R164" s="5">
        <f>IF(O164&gt;0,"Over-predicted","Under-predicted")</f>
        <v/>
      </c>
    </row>
    <row r="165">
      <c r="A165" s="6" t="inlineStr">
        <is>
          <t>STR-1043</t>
        </is>
      </c>
      <c r="B165" s="6" t="inlineStr">
        <is>
          <t>Residential</t>
        </is>
      </c>
      <c r="C165" s="6" t="inlineStr">
        <is>
          <t>East</t>
        </is>
      </c>
      <c r="D165" s="45" t="n">
        <v>593637.14</v>
      </c>
      <c r="E165" s="8" t="n">
        <v>7576</v>
      </c>
      <c r="F165" s="8" t="n">
        <v>32834.48</v>
      </c>
      <c r="G165" s="8" t="n">
        <v>84.09999999999999</v>
      </c>
      <c r="H165" s="8" t="n">
        <v>5</v>
      </c>
      <c r="I165" s="8" t="n">
        <v>0.099</v>
      </c>
      <c r="J165" s="8" t="n">
        <v>0</v>
      </c>
      <c r="K165" s="8">
        <f>IF(B165="High Street",1,0)</f>
        <v/>
      </c>
      <c r="L165" s="8">
        <f>IF(B165="Airport",1,0)</f>
        <v/>
      </c>
      <c r="M165" s="8">
        <f>IF(B165="Mall",1,0)</f>
        <v/>
      </c>
      <c r="N165" s="45">
        <f>$U$3+$U$4*E165+$U$5*F165+$U$6*G165+$U$7*H165+$U$8*I165+$U$9*J165+$U$10*K165+$U$11*L165+$U$12*M165</f>
        <v/>
      </c>
      <c r="O165" s="45">
        <f>D165-N165</f>
        <v/>
      </c>
      <c r="P165" s="45">
        <f>ABS(O165)</f>
        <v/>
      </c>
      <c r="Q165" s="8">
        <f>RANK(P165,$P$3:$P$308,1)</f>
        <v/>
      </c>
      <c r="R165" s="8">
        <f>IF(O165&gt;0,"Over-predicted","Under-predicted")</f>
        <v/>
      </c>
    </row>
    <row r="166">
      <c r="A166" s="2" t="inlineStr">
        <is>
          <t>STR-1043</t>
        </is>
      </c>
      <c r="B166" s="2" t="inlineStr">
        <is>
          <t>Residential</t>
        </is>
      </c>
      <c r="C166" s="2" t="inlineStr">
        <is>
          <t>East</t>
        </is>
      </c>
      <c r="D166" s="44" t="n">
        <v>769702.76</v>
      </c>
      <c r="E166" s="5" t="n">
        <v>8949</v>
      </c>
      <c r="F166" s="5" t="n">
        <v>50825.08</v>
      </c>
      <c r="G166" s="5" t="n">
        <v>84.7</v>
      </c>
      <c r="H166" s="5" t="n">
        <v>4.9</v>
      </c>
      <c r="I166" s="5" t="n">
        <v>0.157</v>
      </c>
      <c r="J166" s="5" t="n">
        <v>0</v>
      </c>
      <c r="K166" s="5">
        <f>IF(B166="High Street",1,0)</f>
        <v/>
      </c>
      <c r="L166" s="5">
        <f>IF(B166="Airport",1,0)</f>
        <v/>
      </c>
      <c r="M166" s="5">
        <f>IF(B166="Mall",1,0)</f>
        <v/>
      </c>
      <c r="N166" s="44">
        <f>$U$3+$U$4*E166+$U$5*F166+$U$6*G166+$U$7*H166+$U$8*I166+$U$9*J166+$U$10*K166+$U$11*L166+$U$12*M166</f>
        <v/>
      </c>
      <c r="O166" s="44">
        <f>D166-N166</f>
        <v/>
      </c>
      <c r="P166" s="44">
        <f>ABS(O166)</f>
        <v/>
      </c>
      <c r="Q166" s="5">
        <f>RANK(P166,$P$3:$P$308,1)</f>
        <v/>
      </c>
      <c r="R166" s="5">
        <f>IF(O166&gt;0,"Over-predicted","Under-predicted")</f>
        <v/>
      </c>
    </row>
    <row r="167">
      <c r="A167" s="6" t="inlineStr">
        <is>
          <t>STR-1043</t>
        </is>
      </c>
      <c r="B167" s="6" t="inlineStr">
        <is>
          <t>Residential</t>
        </is>
      </c>
      <c r="C167" s="6" t="inlineStr">
        <is>
          <t>East</t>
        </is>
      </c>
      <c r="D167" s="45" t="n">
        <v>679731.5699999999</v>
      </c>
      <c r="E167" s="8" t="n">
        <v>7671</v>
      </c>
      <c r="F167" s="8" t="n">
        <v>36606.51</v>
      </c>
      <c r="G167" s="8" t="n">
        <v>89.8</v>
      </c>
      <c r="H167" s="8" t="n">
        <v>4.4</v>
      </c>
      <c r="I167" s="8" t="n">
        <v>0.118</v>
      </c>
      <c r="J167" s="8" t="n">
        <v>0</v>
      </c>
      <c r="K167" s="8">
        <f>IF(B167="High Street",1,0)</f>
        <v/>
      </c>
      <c r="L167" s="8">
        <f>IF(B167="Airport",1,0)</f>
        <v/>
      </c>
      <c r="M167" s="8">
        <f>IF(B167="Mall",1,0)</f>
        <v/>
      </c>
      <c r="N167" s="45">
        <f>$U$3+$U$4*E167+$U$5*F167+$U$6*G167+$U$7*H167+$U$8*I167+$U$9*J167+$U$10*K167+$U$11*L167+$U$12*M167</f>
        <v/>
      </c>
      <c r="O167" s="45">
        <f>D167-N167</f>
        <v/>
      </c>
      <c r="P167" s="45">
        <f>ABS(O167)</f>
        <v/>
      </c>
      <c r="Q167" s="8">
        <f>RANK(P167,$P$3:$P$308,1)</f>
        <v/>
      </c>
      <c r="R167" s="8">
        <f>IF(O167&gt;0,"Over-predicted","Under-predicted")</f>
        <v/>
      </c>
    </row>
    <row r="168">
      <c r="A168" s="2" t="inlineStr">
        <is>
          <t>STR-1044</t>
        </is>
      </c>
      <c r="B168" s="2" t="inlineStr">
        <is>
          <t>Residential</t>
        </is>
      </c>
      <c r="C168" s="2" t="inlineStr">
        <is>
          <t>East</t>
        </is>
      </c>
      <c r="D168" s="44" t="n">
        <v>780344.1800000001</v>
      </c>
      <c r="E168" s="5" t="n">
        <v>8741</v>
      </c>
      <c r="F168" s="5" t="n">
        <v>65237.79</v>
      </c>
      <c r="G168" s="5" t="n">
        <v>94.40000000000001</v>
      </c>
      <c r="H168" s="5" t="n">
        <v>3.3</v>
      </c>
      <c r="I168" s="5" t="n">
        <v>0.157</v>
      </c>
      <c r="J168" s="5" t="n">
        <v>0</v>
      </c>
      <c r="K168" s="5">
        <f>IF(B168="High Street",1,0)</f>
        <v/>
      </c>
      <c r="L168" s="5">
        <f>IF(B168="Airport",1,0)</f>
        <v/>
      </c>
      <c r="M168" s="5">
        <f>IF(B168="Mall",1,0)</f>
        <v/>
      </c>
      <c r="N168" s="44">
        <f>$U$3+$U$4*E168+$U$5*F168+$U$6*G168+$U$7*H168+$U$8*I168+$U$9*J168+$U$10*K168+$U$11*L168+$U$12*M168</f>
        <v/>
      </c>
      <c r="O168" s="44">
        <f>D168-N168</f>
        <v/>
      </c>
      <c r="P168" s="44">
        <f>ABS(O168)</f>
        <v/>
      </c>
      <c r="Q168" s="5">
        <f>RANK(P168,$P$3:$P$308,1)</f>
        <v/>
      </c>
      <c r="R168" s="5">
        <f>IF(O168&gt;0,"Over-predicted","Under-predicted")</f>
        <v/>
      </c>
    </row>
    <row r="169">
      <c r="A169" s="6" t="inlineStr">
        <is>
          <t>STR-1044</t>
        </is>
      </c>
      <c r="B169" s="6" t="inlineStr">
        <is>
          <t>Residential</t>
        </is>
      </c>
      <c r="C169" s="6" t="inlineStr">
        <is>
          <t>East</t>
        </is>
      </c>
      <c r="D169" s="45" t="n">
        <v>721364.11</v>
      </c>
      <c r="E169" s="8" t="n">
        <v>9480</v>
      </c>
      <c r="F169" s="8" t="n">
        <v>43645.98</v>
      </c>
      <c r="G169" s="8" t="n">
        <v>89</v>
      </c>
      <c r="H169" s="8" t="n">
        <v>3.1</v>
      </c>
      <c r="I169" s="8" t="n">
        <v>0.109</v>
      </c>
      <c r="J169" s="8" t="n">
        <v>0</v>
      </c>
      <c r="K169" s="8">
        <f>IF(B169="High Street",1,0)</f>
        <v/>
      </c>
      <c r="L169" s="8">
        <f>IF(B169="Airport",1,0)</f>
        <v/>
      </c>
      <c r="M169" s="8">
        <f>IF(B169="Mall",1,0)</f>
        <v/>
      </c>
      <c r="N169" s="45">
        <f>$U$3+$U$4*E169+$U$5*F169+$U$6*G169+$U$7*H169+$U$8*I169+$U$9*J169+$U$10*K169+$U$11*L169+$U$12*M169</f>
        <v/>
      </c>
      <c r="O169" s="45">
        <f>D169-N169</f>
        <v/>
      </c>
      <c r="P169" s="45">
        <f>ABS(O169)</f>
        <v/>
      </c>
      <c r="Q169" s="8">
        <f>RANK(P169,$P$3:$P$308,1)</f>
        <v/>
      </c>
      <c r="R169" s="8">
        <f>IF(O169&gt;0,"Over-predicted","Under-predicted")</f>
        <v/>
      </c>
    </row>
    <row r="170">
      <c r="A170" s="2" t="inlineStr">
        <is>
          <t>STR-1044</t>
        </is>
      </c>
      <c r="B170" s="2" t="inlineStr">
        <is>
          <t>Residential</t>
        </is>
      </c>
      <c r="C170" s="2" t="inlineStr">
        <is>
          <t>East</t>
        </is>
      </c>
      <c r="D170" s="44" t="n">
        <v>758138.29</v>
      </c>
      <c r="E170" s="5" t="n">
        <v>9826</v>
      </c>
      <c r="F170" s="5" t="n">
        <v>68040.14999999999</v>
      </c>
      <c r="G170" s="5" t="n">
        <v>83.90000000000001</v>
      </c>
      <c r="H170" s="5" t="n">
        <v>3.6</v>
      </c>
      <c r="I170" s="5" t="n">
        <v>0.125</v>
      </c>
      <c r="J170" s="5" t="n">
        <v>0</v>
      </c>
      <c r="K170" s="5">
        <f>IF(B170="High Street",1,0)</f>
        <v/>
      </c>
      <c r="L170" s="5">
        <f>IF(B170="Airport",1,0)</f>
        <v/>
      </c>
      <c r="M170" s="5">
        <f>IF(B170="Mall",1,0)</f>
        <v/>
      </c>
      <c r="N170" s="44">
        <f>$U$3+$U$4*E170+$U$5*F170+$U$6*G170+$U$7*H170+$U$8*I170+$U$9*J170+$U$10*K170+$U$11*L170+$U$12*M170</f>
        <v/>
      </c>
      <c r="O170" s="44">
        <f>D170-N170</f>
        <v/>
      </c>
      <c r="P170" s="44">
        <f>ABS(O170)</f>
        <v/>
      </c>
      <c r="Q170" s="5">
        <f>RANK(P170,$P$3:$P$308,1)</f>
        <v/>
      </c>
      <c r="R170" s="5">
        <f>IF(O170&gt;0,"Over-predicted","Under-predicted")</f>
        <v/>
      </c>
    </row>
    <row r="171">
      <c r="A171" s="6" t="inlineStr">
        <is>
          <t>STR-1044</t>
        </is>
      </c>
      <c r="B171" s="6" t="inlineStr">
        <is>
          <t>Residential</t>
        </is>
      </c>
      <c r="C171" s="6" t="inlineStr">
        <is>
          <t>East</t>
        </is>
      </c>
      <c r="D171" s="45" t="n">
        <v>804264</v>
      </c>
      <c r="E171" s="8" t="n">
        <v>10402</v>
      </c>
      <c r="F171" s="8" t="n">
        <v>63043.94</v>
      </c>
      <c r="G171" s="8" t="n">
        <v>93.90000000000001</v>
      </c>
      <c r="H171" s="8" t="n">
        <v>3.1</v>
      </c>
      <c r="I171" s="8" t="n">
        <v>0.159</v>
      </c>
      <c r="J171" s="8" t="n">
        <v>0</v>
      </c>
      <c r="K171" s="8">
        <f>IF(B171="High Street",1,0)</f>
        <v/>
      </c>
      <c r="L171" s="8">
        <f>IF(B171="Airport",1,0)</f>
        <v/>
      </c>
      <c r="M171" s="8">
        <f>IF(B171="Mall",1,0)</f>
        <v/>
      </c>
      <c r="N171" s="45">
        <f>$U$3+$U$4*E171+$U$5*F171+$U$6*G171+$U$7*H171+$U$8*I171+$U$9*J171+$U$10*K171+$U$11*L171+$U$12*M171</f>
        <v/>
      </c>
      <c r="O171" s="45">
        <f>D171-N171</f>
        <v/>
      </c>
      <c r="P171" s="45">
        <f>ABS(O171)</f>
        <v/>
      </c>
      <c r="Q171" s="8">
        <f>RANK(P171,$P$3:$P$308,1)</f>
        <v/>
      </c>
      <c r="R171" s="8">
        <f>IF(O171&gt;0,"Over-predicted","Under-predicted")</f>
        <v/>
      </c>
    </row>
    <row r="172">
      <c r="A172" s="2" t="inlineStr">
        <is>
          <t>STR-1045</t>
        </is>
      </c>
      <c r="B172" s="2" t="inlineStr">
        <is>
          <t>Airport</t>
        </is>
      </c>
      <c r="C172" s="2" t="inlineStr">
        <is>
          <t>West</t>
        </is>
      </c>
      <c r="D172" s="44" t="n">
        <v>887537.75</v>
      </c>
      <c r="E172" s="5" t="n">
        <v>12361</v>
      </c>
      <c r="F172" s="5" t="n">
        <v>67494.09</v>
      </c>
      <c r="G172" s="5" t="n">
        <v>76.59999999999999</v>
      </c>
      <c r="H172" s="5" t="n">
        <v>3.7</v>
      </c>
      <c r="I172" s="5" t="n">
        <v>0.046</v>
      </c>
      <c r="J172" s="5" t="n">
        <v>1</v>
      </c>
      <c r="K172" s="5">
        <f>IF(B172="High Street",1,0)</f>
        <v/>
      </c>
      <c r="L172" s="5">
        <f>IF(B172="Airport",1,0)</f>
        <v/>
      </c>
      <c r="M172" s="5">
        <f>IF(B172="Mall",1,0)</f>
        <v/>
      </c>
      <c r="N172" s="44">
        <f>$U$3+$U$4*E172+$U$5*F172+$U$6*G172+$U$7*H172+$U$8*I172+$U$9*J172+$U$10*K172+$U$11*L172+$U$12*M172</f>
        <v/>
      </c>
      <c r="O172" s="44">
        <f>D172-N172</f>
        <v/>
      </c>
      <c r="P172" s="44">
        <f>ABS(O172)</f>
        <v/>
      </c>
      <c r="Q172" s="5">
        <f>RANK(P172,$P$3:$P$308,1)</f>
        <v/>
      </c>
      <c r="R172" s="5">
        <f>IF(O172&gt;0,"Over-predicted","Under-predicted")</f>
        <v/>
      </c>
    </row>
    <row r="173">
      <c r="A173" s="6" t="inlineStr">
        <is>
          <t>STR-1045</t>
        </is>
      </c>
      <c r="B173" s="6" t="inlineStr">
        <is>
          <t>Airport</t>
        </is>
      </c>
      <c r="C173" s="6" t="inlineStr">
        <is>
          <t>West</t>
        </is>
      </c>
      <c r="D173" s="45" t="n">
        <v>783582</v>
      </c>
      <c r="E173" s="8" t="n">
        <v>7925</v>
      </c>
      <c r="F173" s="8" t="n">
        <v>29389.32</v>
      </c>
      <c r="G173" s="8" t="n">
        <v>90.90000000000001</v>
      </c>
      <c r="H173" s="8" t="n">
        <v>4</v>
      </c>
      <c r="I173" s="8" t="n">
        <v>0.177</v>
      </c>
      <c r="J173" s="8" t="n">
        <v>0</v>
      </c>
      <c r="K173" s="8">
        <f>IF(B173="High Street",1,0)</f>
        <v/>
      </c>
      <c r="L173" s="8">
        <f>IF(B173="Airport",1,0)</f>
        <v/>
      </c>
      <c r="M173" s="8">
        <f>IF(B173="Mall",1,0)</f>
        <v/>
      </c>
      <c r="N173" s="45">
        <f>$U$3+$U$4*E173+$U$5*F173+$U$6*G173+$U$7*H173+$U$8*I173+$U$9*J173+$U$10*K173+$U$11*L173+$U$12*M173</f>
        <v/>
      </c>
      <c r="O173" s="45">
        <f>D173-N173</f>
        <v/>
      </c>
      <c r="P173" s="45">
        <f>ABS(O173)</f>
        <v/>
      </c>
      <c r="Q173" s="8">
        <f>RANK(P173,$P$3:$P$308,1)</f>
        <v/>
      </c>
      <c r="R173" s="8">
        <f>IF(O173&gt;0,"Over-predicted","Under-predicted")</f>
        <v/>
      </c>
    </row>
    <row r="174">
      <c r="A174" s="2" t="inlineStr">
        <is>
          <t>STR-1045</t>
        </is>
      </c>
      <c r="B174" s="2" t="inlineStr">
        <is>
          <t>Airport</t>
        </is>
      </c>
      <c r="C174" s="2" t="inlineStr">
        <is>
          <t>West</t>
        </is>
      </c>
      <c r="D174" s="44" t="n">
        <v>781955.52</v>
      </c>
      <c r="E174" s="5" t="n">
        <v>8870</v>
      </c>
      <c r="F174" s="5" t="n">
        <v>40535.09</v>
      </c>
      <c r="G174" s="5" t="n">
        <v>86.59999999999999</v>
      </c>
      <c r="H174" s="5" t="n">
        <v>4.1</v>
      </c>
      <c r="I174" s="5" t="n">
        <v>0.041</v>
      </c>
      <c r="J174" s="5" t="n">
        <v>0</v>
      </c>
      <c r="K174" s="5">
        <f>IF(B174="High Street",1,0)</f>
        <v/>
      </c>
      <c r="L174" s="5">
        <f>IF(B174="Airport",1,0)</f>
        <v/>
      </c>
      <c r="M174" s="5">
        <f>IF(B174="Mall",1,0)</f>
        <v/>
      </c>
      <c r="N174" s="44">
        <f>$U$3+$U$4*E174+$U$5*F174+$U$6*G174+$U$7*H174+$U$8*I174+$U$9*J174+$U$10*K174+$U$11*L174+$U$12*M174</f>
        <v/>
      </c>
      <c r="O174" s="44">
        <f>D174-N174</f>
        <v/>
      </c>
      <c r="P174" s="44">
        <f>ABS(O174)</f>
        <v/>
      </c>
      <c r="Q174" s="5">
        <f>RANK(P174,$P$3:$P$308,1)</f>
        <v/>
      </c>
      <c r="R174" s="5">
        <f>IF(O174&gt;0,"Over-predicted","Under-predicted")</f>
        <v/>
      </c>
    </row>
    <row r="175">
      <c r="A175" s="6" t="inlineStr">
        <is>
          <t>STR-1045</t>
        </is>
      </c>
      <c r="B175" s="6" t="inlineStr">
        <is>
          <t>Airport</t>
        </is>
      </c>
      <c r="C175" s="6" t="inlineStr">
        <is>
          <t>West</t>
        </is>
      </c>
      <c r="D175" s="45" t="n">
        <v>898031.04</v>
      </c>
      <c r="E175" s="8" t="n">
        <v>9999</v>
      </c>
      <c r="F175" s="8" t="n">
        <v>74881.56</v>
      </c>
      <c r="G175" s="8" t="n">
        <v>89.59999999999999</v>
      </c>
      <c r="H175" s="8" t="n">
        <v>4.1</v>
      </c>
      <c r="I175" s="8" t="n">
        <v>0.013</v>
      </c>
      <c r="J175" s="8" t="n">
        <v>0</v>
      </c>
      <c r="K175" s="8">
        <f>IF(B175="High Street",1,0)</f>
        <v/>
      </c>
      <c r="L175" s="8">
        <f>IF(B175="Airport",1,0)</f>
        <v/>
      </c>
      <c r="M175" s="8">
        <f>IF(B175="Mall",1,0)</f>
        <v/>
      </c>
      <c r="N175" s="45">
        <f>$U$3+$U$4*E175+$U$5*F175+$U$6*G175+$U$7*H175+$U$8*I175+$U$9*J175+$U$10*K175+$U$11*L175+$U$12*M175</f>
        <v/>
      </c>
      <c r="O175" s="45">
        <f>D175-N175</f>
        <v/>
      </c>
      <c r="P175" s="45">
        <f>ABS(O175)</f>
        <v/>
      </c>
      <c r="Q175" s="8">
        <f>RANK(P175,$P$3:$P$308,1)</f>
        <v/>
      </c>
      <c r="R175" s="8">
        <f>IF(O175&gt;0,"Over-predicted","Under-predicted")</f>
        <v/>
      </c>
    </row>
    <row r="176">
      <c r="A176" s="2" t="inlineStr">
        <is>
          <t>STR-1046</t>
        </is>
      </c>
      <c r="B176" s="2" t="inlineStr">
        <is>
          <t>Residential</t>
        </is>
      </c>
      <c r="C176" s="2" t="inlineStr">
        <is>
          <t>West</t>
        </is>
      </c>
      <c r="D176" s="44" t="n">
        <v>855341.28</v>
      </c>
      <c r="E176" s="5" t="n">
        <v>11154</v>
      </c>
      <c r="F176" s="5" t="n">
        <v>68491.11</v>
      </c>
      <c r="G176" s="5" t="n">
        <v>89.40000000000001</v>
      </c>
      <c r="H176" s="5" t="n">
        <v>3.9</v>
      </c>
      <c r="I176" s="5" t="n">
        <v>0.001</v>
      </c>
      <c r="J176" s="5" t="n">
        <v>1</v>
      </c>
      <c r="K176" s="5">
        <f>IF(B176="High Street",1,0)</f>
        <v/>
      </c>
      <c r="L176" s="5">
        <f>IF(B176="Airport",1,0)</f>
        <v/>
      </c>
      <c r="M176" s="5">
        <f>IF(B176="Mall",1,0)</f>
        <v/>
      </c>
      <c r="N176" s="44">
        <f>$U$3+$U$4*E176+$U$5*F176+$U$6*G176+$U$7*H176+$U$8*I176+$U$9*J176+$U$10*K176+$U$11*L176+$U$12*M176</f>
        <v/>
      </c>
      <c r="O176" s="44">
        <f>D176-N176</f>
        <v/>
      </c>
      <c r="P176" s="44">
        <f>ABS(O176)</f>
        <v/>
      </c>
      <c r="Q176" s="5">
        <f>RANK(P176,$P$3:$P$308,1)</f>
        <v/>
      </c>
      <c r="R176" s="5">
        <f>IF(O176&gt;0,"Over-predicted","Under-predicted")</f>
        <v/>
      </c>
    </row>
    <row r="177">
      <c r="A177" s="6" t="inlineStr">
        <is>
          <t>STR-1046</t>
        </is>
      </c>
      <c r="B177" s="6" t="inlineStr">
        <is>
          <t>Residential</t>
        </is>
      </c>
      <c r="C177" s="6" t="inlineStr">
        <is>
          <t>West</t>
        </is>
      </c>
      <c r="D177" s="45" t="n">
        <v>751393.88</v>
      </c>
      <c r="E177" s="8" t="n">
        <v>9287</v>
      </c>
      <c r="F177" s="8" t="n">
        <v>45209.25</v>
      </c>
      <c r="G177" s="8" t="n">
        <v>86.40000000000001</v>
      </c>
      <c r="H177" s="8" t="n">
        <v>3.6</v>
      </c>
      <c r="I177" s="8" t="n">
        <v>0.141</v>
      </c>
      <c r="J177" s="8" t="n">
        <v>0</v>
      </c>
      <c r="K177" s="8">
        <f>IF(B177="High Street",1,0)</f>
        <v/>
      </c>
      <c r="L177" s="8">
        <f>IF(B177="Airport",1,0)</f>
        <v/>
      </c>
      <c r="M177" s="8">
        <f>IF(B177="Mall",1,0)</f>
        <v/>
      </c>
      <c r="N177" s="45">
        <f>$U$3+$U$4*E177+$U$5*F177+$U$6*G177+$U$7*H177+$U$8*I177+$U$9*J177+$U$10*K177+$U$11*L177+$U$12*M177</f>
        <v/>
      </c>
      <c r="O177" s="45">
        <f>D177-N177</f>
        <v/>
      </c>
      <c r="P177" s="45">
        <f>ABS(O177)</f>
        <v/>
      </c>
      <c r="Q177" s="8">
        <f>RANK(P177,$P$3:$P$308,1)</f>
        <v/>
      </c>
      <c r="R177" s="8">
        <f>IF(O177&gt;0,"Over-predicted","Under-predicted")</f>
        <v/>
      </c>
    </row>
    <row r="178">
      <c r="A178" s="2" t="inlineStr">
        <is>
          <t>STR-1046</t>
        </is>
      </c>
      <c r="B178" s="2" t="inlineStr">
        <is>
          <t>Residential</t>
        </is>
      </c>
      <c r="C178" s="2" t="inlineStr">
        <is>
          <t>West</t>
        </is>
      </c>
      <c r="D178" s="44" t="n">
        <v>761077.08</v>
      </c>
      <c r="E178" s="5" t="n">
        <v>9812</v>
      </c>
      <c r="F178" s="5" t="n">
        <v>63010.23</v>
      </c>
      <c r="G178" s="5" t="n">
        <v>76.8</v>
      </c>
      <c r="H178" s="5" t="n">
        <v>3.8</v>
      </c>
      <c r="I178" s="5" t="n">
        <v>0.113</v>
      </c>
      <c r="J178" s="5" t="n">
        <v>1</v>
      </c>
      <c r="K178" s="5">
        <f>IF(B178="High Street",1,0)</f>
        <v/>
      </c>
      <c r="L178" s="5">
        <f>IF(B178="Airport",1,0)</f>
        <v/>
      </c>
      <c r="M178" s="5">
        <f>IF(B178="Mall",1,0)</f>
        <v/>
      </c>
      <c r="N178" s="44">
        <f>$U$3+$U$4*E178+$U$5*F178+$U$6*G178+$U$7*H178+$U$8*I178+$U$9*J178+$U$10*K178+$U$11*L178+$U$12*M178</f>
        <v/>
      </c>
      <c r="O178" s="44">
        <f>D178-N178</f>
        <v/>
      </c>
      <c r="P178" s="44">
        <f>ABS(O178)</f>
        <v/>
      </c>
      <c r="Q178" s="5">
        <f>RANK(P178,$P$3:$P$308,1)</f>
        <v/>
      </c>
      <c r="R178" s="5">
        <f>IF(O178&gt;0,"Over-predicted","Under-predicted")</f>
        <v/>
      </c>
    </row>
    <row r="179">
      <c r="A179" s="6" t="inlineStr">
        <is>
          <t>STR-1046</t>
        </is>
      </c>
      <c r="B179" s="6" t="inlineStr">
        <is>
          <t>Residential</t>
        </is>
      </c>
      <c r="C179" s="6" t="inlineStr">
        <is>
          <t>West</t>
        </is>
      </c>
      <c r="D179" s="45" t="n">
        <v>819660.59</v>
      </c>
      <c r="E179" s="8" t="n">
        <v>10741</v>
      </c>
      <c r="F179" s="8" t="n">
        <v>57948.88</v>
      </c>
      <c r="G179" s="8" t="n">
        <v>90.09999999999999</v>
      </c>
      <c r="H179" s="8" t="n">
        <v>3.1</v>
      </c>
      <c r="I179" s="8" t="n">
        <v>0.07000000000000001</v>
      </c>
      <c r="J179" s="8" t="n">
        <v>0</v>
      </c>
      <c r="K179" s="8">
        <f>IF(B179="High Street",1,0)</f>
        <v/>
      </c>
      <c r="L179" s="8">
        <f>IF(B179="Airport",1,0)</f>
        <v/>
      </c>
      <c r="M179" s="8">
        <f>IF(B179="Mall",1,0)</f>
        <v/>
      </c>
      <c r="N179" s="45">
        <f>$U$3+$U$4*E179+$U$5*F179+$U$6*G179+$U$7*H179+$U$8*I179+$U$9*J179+$U$10*K179+$U$11*L179+$U$12*M179</f>
        <v/>
      </c>
      <c r="O179" s="45">
        <f>D179-N179</f>
        <v/>
      </c>
      <c r="P179" s="45">
        <f>ABS(O179)</f>
        <v/>
      </c>
      <c r="Q179" s="8">
        <f>RANK(P179,$P$3:$P$308,1)</f>
        <v/>
      </c>
      <c r="R179" s="8">
        <f>IF(O179&gt;0,"Over-predicted","Under-predicted")</f>
        <v/>
      </c>
    </row>
    <row r="180">
      <c r="A180" s="2" t="inlineStr">
        <is>
          <t>STR-1047</t>
        </is>
      </c>
      <c r="B180" s="2" t="inlineStr">
        <is>
          <t>High Street</t>
        </is>
      </c>
      <c r="C180" s="2" t="inlineStr">
        <is>
          <t>North</t>
        </is>
      </c>
      <c r="D180" s="44" t="n">
        <v>681855.5600000001</v>
      </c>
      <c r="E180" s="5" t="n">
        <v>6084</v>
      </c>
      <c r="F180" s="5" t="n">
        <v>71941.62</v>
      </c>
      <c r="G180" s="5" t="n">
        <v>93.7</v>
      </c>
      <c r="H180" s="5" t="n">
        <v>4.4</v>
      </c>
      <c r="I180" s="5" t="n">
        <v>0.07199999999999999</v>
      </c>
      <c r="J180" s="5" t="n">
        <v>0</v>
      </c>
      <c r="K180" s="5">
        <f>IF(B180="High Street",1,0)</f>
        <v/>
      </c>
      <c r="L180" s="5">
        <f>IF(B180="Airport",1,0)</f>
        <v/>
      </c>
      <c r="M180" s="5">
        <f>IF(B180="Mall",1,0)</f>
        <v/>
      </c>
      <c r="N180" s="44">
        <f>$U$3+$U$4*E180+$U$5*F180+$U$6*G180+$U$7*H180+$U$8*I180+$U$9*J180+$U$10*K180+$U$11*L180+$U$12*M180</f>
        <v/>
      </c>
      <c r="O180" s="44">
        <f>D180-N180</f>
        <v/>
      </c>
      <c r="P180" s="44">
        <f>ABS(O180)</f>
        <v/>
      </c>
      <c r="Q180" s="5">
        <f>RANK(P180,$P$3:$P$308,1)</f>
        <v/>
      </c>
      <c r="R180" s="5">
        <f>IF(O180&gt;0,"Over-predicted","Under-predicted")</f>
        <v/>
      </c>
    </row>
    <row r="181">
      <c r="A181" s="6" t="inlineStr">
        <is>
          <t>STR-1047</t>
        </is>
      </c>
      <c r="B181" s="6" t="inlineStr">
        <is>
          <t>High Street</t>
        </is>
      </c>
      <c r="C181" s="6" t="inlineStr">
        <is>
          <t>North</t>
        </is>
      </c>
      <c r="D181" s="45" t="n">
        <v>678311.17</v>
      </c>
      <c r="E181" s="8" t="n">
        <v>5252</v>
      </c>
      <c r="F181" s="8" t="n">
        <v>57147.88</v>
      </c>
      <c r="G181" s="8" t="n">
        <v>95.5</v>
      </c>
      <c r="H181" s="8" t="n">
        <v>4.4</v>
      </c>
      <c r="I181" s="8" t="n">
        <v>0.161</v>
      </c>
      <c r="J181" s="8" t="n">
        <v>0</v>
      </c>
      <c r="K181" s="8">
        <f>IF(B181="High Street",1,0)</f>
        <v/>
      </c>
      <c r="L181" s="8">
        <f>IF(B181="Airport",1,0)</f>
        <v/>
      </c>
      <c r="M181" s="8">
        <f>IF(B181="Mall",1,0)</f>
        <v/>
      </c>
      <c r="N181" s="45">
        <f>$U$3+$U$4*E181+$U$5*F181+$U$6*G181+$U$7*H181+$U$8*I181+$U$9*J181+$U$10*K181+$U$11*L181+$U$12*M181</f>
        <v/>
      </c>
      <c r="O181" s="45">
        <f>D181-N181</f>
        <v/>
      </c>
      <c r="P181" s="45">
        <f>ABS(O181)</f>
        <v/>
      </c>
      <c r="Q181" s="8">
        <f>RANK(P181,$P$3:$P$308,1)</f>
        <v/>
      </c>
      <c r="R181" s="8">
        <f>IF(O181&gt;0,"Over-predicted","Under-predicted")</f>
        <v/>
      </c>
    </row>
    <row r="182">
      <c r="A182" s="2" t="inlineStr">
        <is>
          <t>STR-1047</t>
        </is>
      </c>
      <c r="B182" s="2" t="inlineStr">
        <is>
          <t>High Street</t>
        </is>
      </c>
      <c r="C182" s="2" t="inlineStr">
        <is>
          <t>North</t>
        </is>
      </c>
      <c r="D182" s="44" t="n">
        <v>765906.95</v>
      </c>
      <c r="E182" s="5" t="n">
        <v>6516</v>
      </c>
      <c r="F182" s="5" t="n">
        <v>48031.74</v>
      </c>
      <c r="G182" s="5" t="n">
        <v>99</v>
      </c>
      <c r="H182" s="5" t="n">
        <v>4.3</v>
      </c>
      <c r="I182" s="5" t="n">
        <v>0.067</v>
      </c>
      <c r="J182" s="5" t="n">
        <v>1</v>
      </c>
      <c r="K182" s="5">
        <f>IF(B182="High Street",1,0)</f>
        <v/>
      </c>
      <c r="L182" s="5">
        <f>IF(B182="Airport",1,0)</f>
        <v/>
      </c>
      <c r="M182" s="5">
        <f>IF(B182="Mall",1,0)</f>
        <v/>
      </c>
      <c r="N182" s="44">
        <f>$U$3+$U$4*E182+$U$5*F182+$U$6*G182+$U$7*H182+$U$8*I182+$U$9*J182+$U$10*K182+$U$11*L182+$U$12*M182</f>
        <v/>
      </c>
      <c r="O182" s="44">
        <f>D182-N182</f>
        <v/>
      </c>
      <c r="P182" s="44">
        <f>ABS(O182)</f>
        <v/>
      </c>
      <c r="Q182" s="5">
        <f>RANK(P182,$P$3:$P$308,1)</f>
        <v/>
      </c>
      <c r="R182" s="5">
        <f>IF(O182&gt;0,"Over-predicted","Under-predicted")</f>
        <v/>
      </c>
    </row>
    <row r="183">
      <c r="A183" s="6" t="inlineStr">
        <is>
          <t>STR-1047</t>
        </is>
      </c>
      <c r="B183" s="6" t="inlineStr">
        <is>
          <t>High Street</t>
        </is>
      </c>
      <c r="C183" s="6" t="inlineStr">
        <is>
          <t>North</t>
        </is>
      </c>
      <c r="D183" s="45" t="n">
        <v>712546.38</v>
      </c>
      <c r="E183" s="8" t="n">
        <v>7932</v>
      </c>
      <c r="F183" s="8" t="n">
        <v>72784.8</v>
      </c>
      <c r="G183" s="8" t="n">
        <v>74.90000000000001</v>
      </c>
      <c r="H183" s="8" t="n">
        <v>4.2</v>
      </c>
      <c r="I183" s="8" t="n">
        <v>0.094</v>
      </c>
      <c r="J183" s="8" t="n">
        <v>0</v>
      </c>
      <c r="K183" s="8">
        <f>IF(B183="High Street",1,0)</f>
        <v/>
      </c>
      <c r="L183" s="8">
        <f>IF(B183="Airport",1,0)</f>
        <v/>
      </c>
      <c r="M183" s="8">
        <f>IF(B183="Mall",1,0)</f>
        <v/>
      </c>
      <c r="N183" s="45">
        <f>$U$3+$U$4*E183+$U$5*F183+$U$6*G183+$U$7*H183+$U$8*I183+$U$9*J183+$U$10*K183+$U$11*L183+$U$12*M183</f>
        <v/>
      </c>
      <c r="O183" s="45">
        <f>D183-N183</f>
        <v/>
      </c>
      <c r="P183" s="45">
        <f>ABS(O183)</f>
        <v/>
      </c>
      <c r="Q183" s="8">
        <f>RANK(P183,$P$3:$P$308,1)</f>
        <v/>
      </c>
      <c r="R183" s="8">
        <f>IF(O183&gt;0,"Over-predicted","Under-predicted")</f>
        <v/>
      </c>
    </row>
    <row r="184">
      <c r="A184" s="2" t="inlineStr">
        <is>
          <t>STR-1048</t>
        </is>
      </c>
      <c r="B184" s="2" t="inlineStr">
        <is>
          <t>High Street</t>
        </is>
      </c>
      <c r="C184" s="2" t="inlineStr">
        <is>
          <t>East</t>
        </is>
      </c>
      <c r="D184" s="44" t="n">
        <v>625993.83</v>
      </c>
      <c r="E184" s="5" t="n">
        <v>3506</v>
      </c>
      <c r="F184" s="5" t="n">
        <v>71641.89999999999</v>
      </c>
      <c r="G184" s="5" t="n">
        <v>86.40000000000001</v>
      </c>
      <c r="H184" s="5" t="n">
        <v>4.1</v>
      </c>
      <c r="I184" s="5" t="n">
        <v>0</v>
      </c>
      <c r="J184" s="5" t="n">
        <v>0</v>
      </c>
      <c r="K184" s="5">
        <f>IF(B184="High Street",1,0)</f>
        <v/>
      </c>
      <c r="L184" s="5">
        <f>IF(B184="Airport",1,0)</f>
        <v/>
      </c>
      <c r="M184" s="5">
        <f>IF(B184="Mall",1,0)</f>
        <v/>
      </c>
      <c r="N184" s="44">
        <f>$U$3+$U$4*E184+$U$5*F184+$U$6*G184+$U$7*H184+$U$8*I184+$U$9*J184+$U$10*K184+$U$11*L184+$U$12*M184</f>
        <v/>
      </c>
      <c r="O184" s="44">
        <f>D184-N184</f>
        <v/>
      </c>
      <c r="P184" s="44">
        <f>ABS(O184)</f>
        <v/>
      </c>
      <c r="Q184" s="5">
        <f>RANK(P184,$P$3:$P$308,1)</f>
        <v/>
      </c>
      <c r="R184" s="5">
        <f>IF(O184&gt;0,"Over-predicted","Under-predicted")</f>
        <v/>
      </c>
    </row>
    <row r="185">
      <c r="A185" s="6" t="inlineStr">
        <is>
          <t>STR-1048</t>
        </is>
      </c>
      <c r="B185" s="6" t="inlineStr">
        <is>
          <t>High Street</t>
        </is>
      </c>
      <c r="C185" s="6" t="inlineStr">
        <is>
          <t>East</t>
        </is>
      </c>
      <c r="D185" s="45" t="n">
        <v>550962.9300000001</v>
      </c>
      <c r="E185" s="8" t="n">
        <v>2312</v>
      </c>
      <c r="F185" s="8" t="n">
        <v>55788.61</v>
      </c>
      <c r="G185" s="8" t="n">
        <v>91.3</v>
      </c>
      <c r="H185" s="8" t="n">
        <v>3.8</v>
      </c>
      <c r="I185" s="8" t="n">
        <v>0.058</v>
      </c>
      <c r="J185" s="8" t="n">
        <v>0</v>
      </c>
      <c r="K185" s="8">
        <f>IF(B185="High Street",1,0)</f>
        <v/>
      </c>
      <c r="L185" s="8">
        <f>IF(B185="Airport",1,0)</f>
        <v/>
      </c>
      <c r="M185" s="8">
        <f>IF(B185="Mall",1,0)</f>
        <v/>
      </c>
      <c r="N185" s="45">
        <f>$U$3+$U$4*E185+$U$5*F185+$U$6*G185+$U$7*H185+$U$8*I185+$U$9*J185+$U$10*K185+$U$11*L185+$U$12*M185</f>
        <v/>
      </c>
      <c r="O185" s="45">
        <f>D185-N185</f>
        <v/>
      </c>
      <c r="P185" s="45">
        <f>ABS(O185)</f>
        <v/>
      </c>
      <c r="Q185" s="8">
        <f>RANK(P185,$P$3:$P$308,1)</f>
        <v/>
      </c>
      <c r="R185" s="8">
        <f>IF(O185&gt;0,"Over-predicted","Under-predicted")</f>
        <v/>
      </c>
    </row>
    <row r="186">
      <c r="A186" s="2" t="inlineStr">
        <is>
          <t>STR-1048</t>
        </is>
      </c>
      <c r="B186" s="2" t="inlineStr">
        <is>
          <t>High Street</t>
        </is>
      </c>
      <c r="C186" s="2" t="inlineStr">
        <is>
          <t>East</t>
        </is>
      </c>
      <c r="D186" s="44" t="n">
        <v>443275.59</v>
      </c>
      <c r="E186" s="5" t="n">
        <v>1268</v>
      </c>
      <c r="F186" s="5" t="n">
        <v>37705.88</v>
      </c>
      <c r="G186" s="5" t="n">
        <v>84.09999999999999</v>
      </c>
      <c r="H186" s="5" t="n">
        <v>3.8</v>
      </c>
      <c r="I186" s="5" t="n">
        <v>0.259</v>
      </c>
      <c r="J186" s="5" t="n">
        <v>0</v>
      </c>
      <c r="K186" s="5">
        <f>IF(B186="High Street",1,0)</f>
        <v/>
      </c>
      <c r="L186" s="5">
        <f>IF(B186="Airport",1,0)</f>
        <v/>
      </c>
      <c r="M186" s="5">
        <f>IF(B186="Mall",1,0)</f>
        <v/>
      </c>
      <c r="N186" s="44">
        <f>$U$3+$U$4*E186+$U$5*F186+$U$6*G186+$U$7*H186+$U$8*I186+$U$9*J186+$U$10*K186+$U$11*L186+$U$12*M186</f>
        <v/>
      </c>
      <c r="O186" s="44">
        <f>D186-N186</f>
        <v/>
      </c>
      <c r="P186" s="44">
        <f>ABS(O186)</f>
        <v/>
      </c>
      <c r="Q186" s="5">
        <f>RANK(P186,$P$3:$P$308,1)</f>
        <v/>
      </c>
      <c r="R186" s="5">
        <f>IF(O186&gt;0,"Over-predicted","Under-predicted")</f>
        <v/>
      </c>
    </row>
    <row r="187">
      <c r="A187" s="6" t="inlineStr">
        <is>
          <t>STR-1048</t>
        </is>
      </c>
      <c r="B187" s="6" t="inlineStr">
        <is>
          <t>High Street</t>
        </is>
      </c>
      <c r="C187" s="6" t="inlineStr">
        <is>
          <t>East</t>
        </is>
      </c>
      <c r="D187" s="45" t="n">
        <v>554012.0699999999</v>
      </c>
      <c r="E187" s="8" t="n">
        <v>4423</v>
      </c>
      <c r="F187" s="8" t="n">
        <v>54966.18</v>
      </c>
      <c r="G187" s="8" t="n">
        <v>88.7</v>
      </c>
      <c r="H187" s="8" t="n">
        <v>4.4</v>
      </c>
      <c r="I187" s="8" t="n">
        <v>0.186</v>
      </c>
      <c r="J187" s="8" t="n">
        <v>0</v>
      </c>
      <c r="K187" s="8">
        <f>IF(B187="High Street",1,0)</f>
        <v/>
      </c>
      <c r="L187" s="8">
        <f>IF(B187="Airport",1,0)</f>
        <v/>
      </c>
      <c r="M187" s="8">
        <f>IF(B187="Mall",1,0)</f>
        <v/>
      </c>
      <c r="N187" s="45">
        <f>$U$3+$U$4*E187+$U$5*F187+$U$6*G187+$U$7*H187+$U$8*I187+$U$9*J187+$U$10*K187+$U$11*L187+$U$12*M187</f>
        <v/>
      </c>
      <c r="O187" s="45">
        <f>D187-N187</f>
        <v/>
      </c>
      <c r="P187" s="45">
        <f>ABS(O187)</f>
        <v/>
      </c>
      <c r="Q187" s="8">
        <f>RANK(P187,$P$3:$P$308,1)</f>
        <v/>
      </c>
      <c r="R187" s="8">
        <f>IF(O187&gt;0,"Over-predicted","Under-predicted")</f>
        <v/>
      </c>
    </row>
    <row r="188">
      <c r="A188" s="2" t="inlineStr">
        <is>
          <t>STR-1049</t>
        </is>
      </c>
      <c r="B188" s="2" t="inlineStr">
        <is>
          <t>Residential</t>
        </is>
      </c>
      <c r="C188" s="2" t="inlineStr">
        <is>
          <t>West</t>
        </is>
      </c>
      <c r="D188" s="44" t="n">
        <v>643428.85</v>
      </c>
      <c r="E188" s="5" t="n">
        <v>6177</v>
      </c>
      <c r="F188" s="5" t="n">
        <v>81796.74000000001</v>
      </c>
      <c r="G188" s="5" t="n">
        <v>87.90000000000001</v>
      </c>
      <c r="H188" s="5" t="n">
        <v>3.2</v>
      </c>
      <c r="I188" s="5" t="n">
        <v>0.164</v>
      </c>
      <c r="J188" s="5" t="n">
        <v>0</v>
      </c>
      <c r="K188" s="5">
        <f>IF(B188="High Street",1,0)</f>
        <v/>
      </c>
      <c r="L188" s="5">
        <f>IF(B188="Airport",1,0)</f>
        <v/>
      </c>
      <c r="M188" s="5">
        <f>IF(B188="Mall",1,0)</f>
        <v/>
      </c>
      <c r="N188" s="44">
        <f>$U$3+$U$4*E188+$U$5*F188+$U$6*G188+$U$7*H188+$U$8*I188+$U$9*J188+$U$10*K188+$U$11*L188+$U$12*M188</f>
        <v/>
      </c>
      <c r="O188" s="44">
        <f>D188-N188</f>
        <v/>
      </c>
      <c r="P188" s="44">
        <f>ABS(O188)</f>
        <v/>
      </c>
      <c r="Q188" s="5">
        <f>RANK(P188,$P$3:$P$308,1)</f>
        <v/>
      </c>
      <c r="R188" s="5">
        <f>IF(O188&gt;0,"Over-predicted","Under-predicted")</f>
        <v/>
      </c>
    </row>
    <row r="189">
      <c r="A189" s="6" t="inlineStr">
        <is>
          <t>STR-1049</t>
        </is>
      </c>
      <c r="B189" s="6" t="inlineStr">
        <is>
          <t>Residential</t>
        </is>
      </c>
      <c r="C189" s="6" t="inlineStr">
        <is>
          <t>West</t>
        </is>
      </c>
      <c r="D189" s="45" t="n">
        <v>611924.27</v>
      </c>
      <c r="E189" s="8" t="n">
        <v>5150</v>
      </c>
      <c r="F189" s="8" t="n">
        <v>51133.43</v>
      </c>
      <c r="G189" s="8" t="n">
        <v>88.5</v>
      </c>
      <c r="H189" s="8" t="n">
        <v>3.2</v>
      </c>
      <c r="I189" s="8" t="n">
        <v>0.15</v>
      </c>
      <c r="J189" s="8" t="n">
        <v>0</v>
      </c>
      <c r="K189" s="8">
        <f>IF(B189="High Street",1,0)</f>
        <v/>
      </c>
      <c r="L189" s="8">
        <f>IF(B189="Airport",1,0)</f>
        <v/>
      </c>
      <c r="M189" s="8">
        <f>IF(B189="Mall",1,0)</f>
        <v/>
      </c>
      <c r="N189" s="45">
        <f>$U$3+$U$4*E189+$U$5*F189+$U$6*G189+$U$7*H189+$U$8*I189+$U$9*J189+$U$10*K189+$U$11*L189+$U$12*M189</f>
        <v/>
      </c>
      <c r="O189" s="45">
        <f>D189-N189</f>
        <v/>
      </c>
      <c r="P189" s="45">
        <f>ABS(O189)</f>
        <v/>
      </c>
      <c r="Q189" s="8">
        <f>RANK(P189,$P$3:$P$308,1)</f>
        <v/>
      </c>
      <c r="R189" s="8">
        <f>IF(O189&gt;0,"Over-predicted","Under-predicted")</f>
        <v/>
      </c>
    </row>
    <row r="190">
      <c r="A190" s="2" t="inlineStr">
        <is>
          <t>STR-1049</t>
        </is>
      </c>
      <c r="B190" s="2" t="inlineStr">
        <is>
          <t>Residential</t>
        </is>
      </c>
      <c r="C190" s="2" t="inlineStr">
        <is>
          <t>West</t>
        </is>
      </c>
      <c r="D190" s="44" t="n">
        <v>559422.02</v>
      </c>
      <c r="E190" s="5" t="n">
        <v>3783</v>
      </c>
      <c r="F190" s="5" t="n">
        <v>40220.18</v>
      </c>
      <c r="G190" s="5" t="n">
        <v>86.59999999999999</v>
      </c>
      <c r="H190" s="5" t="n">
        <v>3.7</v>
      </c>
      <c r="I190" s="5" t="n">
        <v>0.089</v>
      </c>
      <c r="J190" s="5" t="n">
        <v>0</v>
      </c>
      <c r="K190" s="5">
        <f>IF(B190="High Street",1,0)</f>
        <v/>
      </c>
      <c r="L190" s="5">
        <f>IF(B190="Airport",1,0)</f>
        <v/>
      </c>
      <c r="M190" s="5">
        <f>IF(B190="Mall",1,0)</f>
        <v/>
      </c>
      <c r="N190" s="44">
        <f>$U$3+$U$4*E190+$U$5*F190+$U$6*G190+$U$7*H190+$U$8*I190+$U$9*J190+$U$10*K190+$U$11*L190+$U$12*M190</f>
        <v/>
      </c>
      <c r="O190" s="44">
        <f>D190-N190</f>
        <v/>
      </c>
      <c r="P190" s="44">
        <f>ABS(O190)</f>
        <v/>
      </c>
      <c r="Q190" s="5">
        <f>RANK(P190,$P$3:$P$308,1)</f>
        <v/>
      </c>
      <c r="R190" s="5">
        <f>IF(O190&gt;0,"Over-predicted","Under-predicted")</f>
        <v/>
      </c>
    </row>
    <row r="191">
      <c r="A191" s="6" t="inlineStr">
        <is>
          <t>STR-1050</t>
        </is>
      </c>
      <c r="B191" s="6" t="inlineStr">
        <is>
          <t>Residential</t>
        </is>
      </c>
      <c r="C191" s="6" t="inlineStr">
        <is>
          <t>North</t>
        </is>
      </c>
      <c r="D191" s="45" t="n">
        <v>691447.4300000001</v>
      </c>
      <c r="E191" s="8" t="n">
        <v>4970</v>
      </c>
      <c r="F191" s="8" t="n">
        <v>71851.45</v>
      </c>
      <c r="G191" s="8" t="n">
        <v>89.59999999999999</v>
      </c>
      <c r="H191" s="8" t="n">
        <v>4.2</v>
      </c>
      <c r="I191" s="8" t="n">
        <v>0.098</v>
      </c>
      <c r="J191" s="8" t="n">
        <v>0</v>
      </c>
      <c r="K191" s="8">
        <f>IF(B191="High Street",1,0)</f>
        <v/>
      </c>
      <c r="L191" s="8">
        <f>IF(B191="Airport",1,0)</f>
        <v/>
      </c>
      <c r="M191" s="8">
        <f>IF(B191="Mall",1,0)</f>
        <v/>
      </c>
      <c r="N191" s="45">
        <f>$U$3+$U$4*E191+$U$5*F191+$U$6*G191+$U$7*H191+$U$8*I191+$U$9*J191+$U$10*K191+$U$11*L191+$U$12*M191</f>
        <v/>
      </c>
      <c r="O191" s="45">
        <f>D191-N191</f>
        <v/>
      </c>
      <c r="P191" s="45">
        <f>ABS(O191)</f>
        <v/>
      </c>
      <c r="Q191" s="8">
        <f>RANK(P191,$P$3:$P$308,1)</f>
        <v/>
      </c>
      <c r="R191" s="8">
        <f>IF(O191&gt;0,"Over-predicted","Under-predicted")</f>
        <v/>
      </c>
    </row>
    <row r="192">
      <c r="A192" s="2" t="inlineStr">
        <is>
          <t>STR-1050</t>
        </is>
      </c>
      <c r="B192" s="2" t="inlineStr">
        <is>
          <t>Residential</t>
        </is>
      </c>
      <c r="C192" s="2" t="inlineStr">
        <is>
          <t>North</t>
        </is>
      </c>
      <c r="D192" s="44" t="n">
        <v>574066.61</v>
      </c>
      <c r="E192" s="5" t="n">
        <v>4366</v>
      </c>
      <c r="F192" s="5" t="n">
        <v>54002.83</v>
      </c>
      <c r="G192" s="5" t="n">
        <v>90.59999999999999</v>
      </c>
      <c r="H192" s="5" t="n">
        <v>4.6</v>
      </c>
      <c r="I192" s="5" t="n">
        <v>0.027</v>
      </c>
      <c r="J192" s="5" t="n">
        <v>0</v>
      </c>
      <c r="K192" s="5">
        <f>IF(B192="High Street",1,0)</f>
        <v/>
      </c>
      <c r="L192" s="5">
        <f>IF(B192="Airport",1,0)</f>
        <v/>
      </c>
      <c r="M192" s="5">
        <f>IF(B192="Mall",1,0)</f>
        <v/>
      </c>
      <c r="N192" s="44">
        <f>$U$3+$U$4*E192+$U$5*F192+$U$6*G192+$U$7*H192+$U$8*I192+$U$9*J192+$U$10*K192+$U$11*L192+$U$12*M192</f>
        <v/>
      </c>
      <c r="O192" s="44">
        <f>D192-N192</f>
        <v/>
      </c>
      <c r="P192" s="44">
        <f>ABS(O192)</f>
        <v/>
      </c>
      <c r="Q192" s="5">
        <f>RANK(P192,$P$3:$P$308,1)</f>
        <v/>
      </c>
      <c r="R192" s="5">
        <f>IF(O192&gt;0,"Over-predicted","Under-predicted")</f>
        <v/>
      </c>
    </row>
    <row r="193">
      <c r="A193" s="6" t="inlineStr">
        <is>
          <t>STR-1050</t>
        </is>
      </c>
      <c r="B193" s="6" t="inlineStr">
        <is>
          <t>Residential</t>
        </is>
      </c>
      <c r="C193" s="6" t="inlineStr">
        <is>
          <t>North</t>
        </is>
      </c>
      <c r="D193" s="45" t="n">
        <v>578949.84</v>
      </c>
      <c r="E193" s="8" t="n">
        <v>5012</v>
      </c>
      <c r="F193" s="8" t="n">
        <v>54479.33</v>
      </c>
      <c r="G193" s="8" t="n">
        <v>86</v>
      </c>
      <c r="H193" s="8" t="n">
        <v>4.3</v>
      </c>
      <c r="I193" s="8" t="n">
        <v>0.284</v>
      </c>
      <c r="J193" s="8" t="n">
        <v>1</v>
      </c>
      <c r="K193" s="8">
        <f>IF(B193="High Street",1,0)</f>
        <v/>
      </c>
      <c r="L193" s="8">
        <f>IF(B193="Airport",1,0)</f>
        <v/>
      </c>
      <c r="M193" s="8">
        <f>IF(B193="Mall",1,0)</f>
        <v/>
      </c>
      <c r="N193" s="45">
        <f>$U$3+$U$4*E193+$U$5*F193+$U$6*G193+$U$7*H193+$U$8*I193+$U$9*J193+$U$10*K193+$U$11*L193+$U$12*M193</f>
        <v/>
      </c>
      <c r="O193" s="45">
        <f>D193-N193</f>
        <v/>
      </c>
      <c r="P193" s="45">
        <f>ABS(O193)</f>
        <v/>
      </c>
      <c r="Q193" s="8">
        <f>RANK(P193,$P$3:$P$308,1)</f>
        <v/>
      </c>
      <c r="R193" s="8">
        <f>IF(O193&gt;0,"Over-predicted","Under-predicted")</f>
        <v/>
      </c>
    </row>
    <row r="194">
      <c r="A194" s="2" t="inlineStr">
        <is>
          <t>STR-1050</t>
        </is>
      </c>
      <c r="B194" s="2" t="inlineStr">
        <is>
          <t>Residential</t>
        </is>
      </c>
      <c r="C194" s="2" t="inlineStr">
        <is>
          <t>North</t>
        </is>
      </c>
      <c r="D194" s="44" t="n">
        <v>735786.64</v>
      </c>
      <c r="E194" s="5" t="n">
        <v>5575</v>
      </c>
      <c r="F194" s="5" t="n">
        <v>61391.8</v>
      </c>
      <c r="G194" s="5" t="n">
        <v>90</v>
      </c>
      <c r="H194" s="5" t="n">
        <v>4.8</v>
      </c>
      <c r="I194" s="5" t="n">
        <v>0.189</v>
      </c>
      <c r="J194" s="5" t="n">
        <v>0</v>
      </c>
      <c r="K194" s="5">
        <f>IF(B194="High Street",1,0)</f>
        <v/>
      </c>
      <c r="L194" s="5">
        <f>IF(B194="Airport",1,0)</f>
        <v/>
      </c>
      <c r="M194" s="5">
        <f>IF(B194="Mall",1,0)</f>
        <v/>
      </c>
      <c r="N194" s="44">
        <f>$U$3+$U$4*E194+$U$5*F194+$U$6*G194+$U$7*H194+$U$8*I194+$U$9*J194+$U$10*K194+$U$11*L194+$U$12*M194</f>
        <v/>
      </c>
      <c r="O194" s="44">
        <f>D194-N194</f>
        <v/>
      </c>
      <c r="P194" s="44">
        <f>ABS(O194)</f>
        <v/>
      </c>
      <c r="Q194" s="5">
        <f>RANK(P194,$P$3:$P$308,1)</f>
        <v/>
      </c>
      <c r="R194" s="5">
        <f>IF(O194&gt;0,"Over-predicted","Under-predicted")</f>
        <v/>
      </c>
    </row>
    <row r="195">
      <c r="A195" s="6" t="inlineStr">
        <is>
          <t>STR-1051</t>
        </is>
      </c>
      <c r="B195" s="6" t="inlineStr">
        <is>
          <t>Airport</t>
        </is>
      </c>
      <c r="C195" s="6" t="inlineStr">
        <is>
          <t>East</t>
        </is>
      </c>
      <c r="D195" s="45" t="n">
        <v>598904.9</v>
      </c>
      <c r="E195" s="8" t="n">
        <v>5955</v>
      </c>
      <c r="F195" s="8" t="n">
        <v>22312.93</v>
      </c>
      <c r="G195" s="8" t="n">
        <v>84.2</v>
      </c>
      <c r="H195" s="8" t="n">
        <v>4.6</v>
      </c>
      <c r="I195" s="8" t="n">
        <v>0.123</v>
      </c>
      <c r="J195" s="8" t="n">
        <v>1</v>
      </c>
      <c r="K195" s="8">
        <f>IF(B195="High Street",1,0)</f>
        <v/>
      </c>
      <c r="L195" s="8">
        <f>IF(B195="Airport",1,0)</f>
        <v/>
      </c>
      <c r="M195" s="8">
        <f>IF(B195="Mall",1,0)</f>
        <v/>
      </c>
      <c r="N195" s="45">
        <f>$U$3+$U$4*E195+$U$5*F195+$U$6*G195+$U$7*H195+$U$8*I195+$U$9*J195+$U$10*K195+$U$11*L195+$U$12*M195</f>
        <v/>
      </c>
      <c r="O195" s="45">
        <f>D195-N195</f>
        <v/>
      </c>
      <c r="P195" s="45">
        <f>ABS(O195)</f>
        <v/>
      </c>
      <c r="Q195" s="8">
        <f>RANK(P195,$P$3:$P$308,1)</f>
        <v/>
      </c>
      <c r="R195" s="8">
        <f>IF(O195&gt;0,"Over-predicted","Under-predicted")</f>
        <v/>
      </c>
    </row>
    <row r="196">
      <c r="A196" s="2" t="inlineStr">
        <is>
          <t>STR-1051</t>
        </is>
      </c>
      <c r="B196" s="2" t="inlineStr">
        <is>
          <t>Airport</t>
        </is>
      </c>
      <c r="C196" s="2" t="inlineStr">
        <is>
          <t>East</t>
        </is>
      </c>
      <c r="D196" s="44" t="n">
        <v>787715.51</v>
      </c>
      <c r="E196" s="5" t="n">
        <v>6389</v>
      </c>
      <c r="F196" s="5" t="n">
        <v>78111.97</v>
      </c>
      <c r="G196" s="5" t="n">
        <v>83.90000000000001</v>
      </c>
      <c r="H196" s="5" t="n">
        <v>4.8</v>
      </c>
      <c r="I196" s="5" t="n">
        <v>0.15</v>
      </c>
      <c r="J196" s="5" t="n">
        <v>0</v>
      </c>
      <c r="K196" s="5">
        <f>IF(B196="High Street",1,0)</f>
        <v/>
      </c>
      <c r="L196" s="5">
        <f>IF(B196="Airport",1,0)</f>
        <v/>
      </c>
      <c r="M196" s="5">
        <f>IF(B196="Mall",1,0)</f>
        <v/>
      </c>
      <c r="N196" s="44">
        <f>$U$3+$U$4*E196+$U$5*F196+$U$6*G196+$U$7*H196+$U$8*I196+$U$9*J196+$U$10*K196+$U$11*L196+$U$12*M196</f>
        <v/>
      </c>
      <c r="O196" s="44">
        <f>D196-N196</f>
        <v/>
      </c>
      <c r="P196" s="44">
        <f>ABS(O196)</f>
        <v/>
      </c>
      <c r="Q196" s="5">
        <f>RANK(P196,$P$3:$P$308,1)</f>
        <v/>
      </c>
      <c r="R196" s="5">
        <f>IF(O196&gt;0,"Over-predicted","Under-predicted")</f>
        <v/>
      </c>
    </row>
    <row r="197">
      <c r="A197" s="6" t="inlineStr">
        <is>
          <t>STR-1051</t>
        </is>
      </c>
      <c r="B197" s="6" t="inlineStr">
        <is>
          <t>Airport</t>
        </is>
      </c>
      <c r="C197" s="6" t="inlineStr">
        <is>
          <t>East</t>
        </is>
      </c>
      <c r="D197" s="45" t="n">
        <v>607084.92</v>
      </c>
      <c r="E197" s="8" t="n">
        <v>6896</v>
      </c>
      <c r="F197" s="8" t="n">
        <v>35203.23</v>
      </c>
      <c r="G197" s="8" t="n">
        <v>80.8</v>
      </c>
      <c r="H197" s="8" t="n">
        <v>5</v>
      </c>
      <c r="I197" s="8" t="n">
        <v>0.032</v>
      </c>
      <c r="J197" s="8" t="n">
        <v>1</v>
      </c>
      <c r="K197" s="8">
        <f>IF(B197="High Street",1,0)</f>
        <v/>
      </c>
      <c r="L197" s="8">
        <f>IF(B197="Airport",1,0)</f>
        <v/>
      </c>
      <c r="M197" s="8">
        <f>IF(B197="Mall",1,0)</f>
        <v/>
      </c>
      <c r="N197" s="45">
        <f>$U$3+$U$4*E197+$U$5*F197+$U$6*G197+$U$7*H197+$U$8*I197+$U$9*J197+$U$10*K197+$U$11*L197+$U$12*M197</f>
        <v/>
      </c>
      <c r="O197" s="45">
        <f>D197-N197</f>
        <v/>
      </c>
      <c r="P197" s="45">
        <f>ABS(O197)</f>
        <v/>
      </c>
      <c r="Q197" s="8">
        <f>RANK(P197,$P$3:$P$308,1)</f>
        <v/>
      </c>
      <c r="R197" s="8">
        <f>IF(O197&gt;0,"Over-predicted","Under-predicted")</f>
        <v/>
      </c>
    </row>
    <row r="198">
      <c r="A198" s="2" t="inlineStr">
        <is>
          <t>STR-1051</t>
        </is>
      </c>
      <c r="B198" s="2" t="inlineStr">
        <is>
          <t>Airport</t>
        </is>
      </c>
      <c r="C198" s="2" t="inlineStr">
        <is>
          <t>East</t>
        </is>
      </c>
      <c r="D198" s="44" t="n">
        <v>650795.49</v>
      </c>
      <c r="E198" s="5" t="n">
        <v>6015</v>
      </c>
      <c r="F198" s="5" t="n">
        <v>64104.28</v>
      </c>
      <c r="G198" s="5" t="n">
        <v>88.7</v>
      </c>
      <c r="H198" s="5" t="n">
        <v>4</v>
      </c>
      <c r="I198" s="5" t="n">
        <v>0.127</v>
      </c>
      <c r="J198" s="5" t="n">
        <v>0</v>
      </c>
      <c r="K198" s="5">
        <f>IF(B198="High Street",1,0)</f>
        <v/>
      </c>
      <c r="L198" s="5">
        <f>IF(B198="Airport",1,0)</f>
        <v/>
      </c>
      <c r="M198" s="5">
        <f>IF(B198="Mall",1,0)</f>
        <v/>
      </c>
      <c r="N198" s="44">
        <f>$U$3+$U$4*E198+$U$5*F198+$U$6*G198+$U$7*H198+$U$8*I198+$U$9*J198+$U$10*K198+$U$11*L198+$U$12*M198</f>
        <v/>
      </c>
      <c r="O198" s="44">
        <f>D198-N198</f>
        <v/>
      </c>
      <c r="P198" s="44">
        <f>ABS(O198)</f>
        <v/>
      </c>
      <c r="Q198" s="5">
        <f>RANK(P198,$P$3:$P$308,1)</f>
        <v/>
      </c>
      <c r="R198" s="5">
        <f>IF(O198&gt;0,"Over-predicted","Under-predicted")</f>
        <v/>
      </c>
    </row>
    <row r="199">
      <c r="A199" s="6" t="inlineStr">
        <is>
          <t>STR-1052</t>
        </is>
      </c>
      <c r="B199" s="6" t="inlineStr">
        <is>
          <t>Mall</t>
        </is>
      </c>
      <c r="C199" s="6" t="inlineStr">
        <is>
          <t>East</t>
        </is>
      </c>
      <c r="D199" s="45" t="n">
        <v>825060.52</v>
      </c>
      <c r="E199" s="8" t="n">
        <v>9476</v>
      </c>
      <c r="F199" s="8" t="n">
        <v>92090.14</v>
      </c>
      <c r="G199" s="8" t="n">
        <v>94.3</v>
      </c>
      <c r="H199" s="8" t="n">
        <v>3.7</v>
      </c>
      <c r="I199" s="8" t="n">
        <v>0.07000000000000001</v>
      </c>
      <c r="J199" s="8" t="n">
        <v>0</v>
      </c>
      <c r="K199" s="8">
        <f>IF(B199="High Street",1,0)</f>
        <v/>
      </c>
      <c r="L199" s="8">
        <f>IF(B199="Airport",1,0)</f>
        <v/>
      </c>
      <c r="M199" s="8">
        <f>IF(B199="Mall",1,0)</f>
        <v/>
      </c>
      <c r="N199" s="45">
        <f>$U$3+$U$4*E199+$U$5*F199+$U$6*G199+$U$7*H199+$U$8*I199+$U$9*J199+$U$10*K199+$U$11*L199+$U$12*M199</f>
        <v/>
      </c>
      <c r="O199" s="45">
        <f>D199-N199</f>
        <v/>
      </c>
      <c r="P199" s="45">
        <f>ABS(O199)</f>
        <v/>
      </c>
      <c r="Q199" s="8">
        <f>RANK(P199,$P$3:$P$308,1)</f>
        <v/>
      </c>
      <c r="R199" s="8">
        <f>IF(O199&gt;0,"Over-predicted","Under-predicted")</f>
        <v/>
      </c>
    </row>
    <row r="200">
      <c r="A200" s="2" t="inlineStr">
        <is>
          <t>STR-1052</t>
        </is>
      </c>
      <c r="B200" s="2" t="inlineStr">
        <is>
          <t>Mall</t>
        </is>
      </c>
      <c r="C200" s="2" t="inlineStr">
        <is>
          <t>East</t>
        </is>
      </c>
      <c r="D200" s="44" t="n">
        <v>795464.47</v>
      </c>
      <c r="E200" s="5" t="n">
        <v>7875</v>
      </c>
      <c r="F200" s="5" t="n">
        <v>54300.87</v>
      </c>
      <c r="G200" s="5" t="n">
        <v>94.09999999999999</v>
      </c>
      <c r="H200" s="5" t="n">
        <v>3.7</v>
      </c>
      <c r="I200" s="5" t="n">
        <v>0.107</v>
      </c>
      <c r="J200" s="5" t="n">
        <v>0</v>
      </c>
      <c r="K200" s="5">
        <f>IF(B200="High Street",1,0)</f>
        <v/>
      </c>
      <c r="L200" s="5">
        <f>IF(B200="Airport",1,0)</f>
        <v/>
      </c>
      <c r="M200" s="5">
        <f>IF(B200="Mall",1,0)</f>
        <v/>
      </c>
      <c r="N200" s="44">
        <f>$U$3+$U$4*E200+$U$5*F200+$U$6*G200+$U$7*H200+$U$8*I200+$U$9*J200+$U$10*K200+$U$11*L200+$U$12*M200</f>
        <v/>
      </c>
      <c r="O200" s="44">
        <f>D200-N200</f>
        <v/>
      </c>
      <c r="P200" s="44">
        <f>ABS(O200)</f>
        <v/>
      </c>
      <c r="Q200" s="5">
        <f>RANK(P200,$P$3:$P$308,1)</f>
        <v/>
      </c>
      <c r="R200" s="5">
        <f>IF(O200&gt;0,"Over-predicted","Under-predicted")</f>
        <v/>
      </c>
    </row>
    <row r="201">
      <c r="A201" s="6" t="inlineStr">
        <is>
          <t>STR-1052</t>
        </is>
      </c>
      <c r="B201" s="6" t="inlineStr">
        <is>
          <t>Mall</t>
        </is>
      </c>
      <c r="C201" s="6" t="inlineStr">
        <is>
          <t>East</t>
        </is>
      </c>
      <c r="D201" s="45" t="n">
        <v>671868.59</v>
      </c>
      <c r="E201" s="8" t="n">
        <v>9283</v>
      </c>
      <c r="F201" s="8" t="n">
        <v>37983.35</v>
      </c>
      <c r="G201" s="8" t="n">
        <v>83.2</v>
      </c>
      <c r="H201" s="8" t="n">
        <v>3.7</v>
      </c>
      <c r="I201" s="8" t="n">
        <v>0.149</v>
      </c>
      <c r="J201" s="8" t="n">
        <v>0</v>
      </c>
      <c r="K201" s="8">
        <f>IF(B201="High Street",1,0)</f>
        <v/>
      </c>
      <c r="L201" s="8">
        <f>IF(B201="Airport",1,0)</f>
        <v/>
      </c>
      <c r="M201" s="8">
        <f>IF(B201="Mall",1,0)</f>
        <v/>
      </c>
      <c r="N201" s="45">
        <f>$U$3+$U$4*E201+$U$5*F201+$U$6*G201+$U$7*H201+$U$8*I201+$U$9*J201+$U$10*K201+$U$11*L201+$U$12*M201</f>
        <v/>
      </c>
      <c r="O201" s="45">
        <f>D201-N201</f>
        <v/>
      </c>
      <c r="P201" s="45">
        <f>ABS(O201)</f>
        <v/>
      </c>
      <c r="Q201" s="8">
        <f>RANK(P201,$P$3:$P$308,1)</f>
        <v/>
      </c>
      <c r="R201" s="8">
        <f>IF(O201&gt;0,"Over-predicted","Under-predicted")</f>
        <v/>
      </c>
    </row>
    <row r="202">
      <c r="A202" s="2" t="inlineStr">
        <is>
          <t>STR-1052</t>
        </is>
      </c>
      <c r="B202" s="2" t="inlineStr">
        <is>
          <t>Mall</t>
        </is>
      </c>
      <c r="C202" s="2" t="inlineStr">
        <is>
          <t>East</t>
        </is>
      </c>
      <c r="D202" s="44" t="n">
        <v>675917.63</v>
      </c>
      <c r="E202" s="5" t="n">
        <v>8303</v>
      </c>
      <c r="F202" s="5" t="n">
        <v>56413.83</v>
      </c>
      <c r="G202" s="5" t="n">
        <v>93.59999999999999</v>
      </c>
      <c r="H202" s="5" t="n">
        <v>3.7</v>
      </c>
      <c r="I202" s="5" t="n">
        <v>0.116</v>
      </c>
      <c r="J202" s="5" t="n">
        <v>0</v>
      </c>
      <c r="K202" s="5">
        <f>IF(B202="High Street",1,0)</f>
        <v/>
      </c>
      <c r="L202" s="5">
        <f>IF(B202="Airport",1,0)</f>
        <v/>
      </c>
      <c r="M202" s="5">
        <f>IF(B202="Mall",1,0)</f>
        <v/>
      </c>
      <c r="N202" s="44">
        <f>$U$3+$U$4*E202+$U$5*F202+$U$6*G202+$U$7*H202+$U$8*I202+$U$9*J202+$U$10*K202+$U$11*L202+$U$12*M202</f>
        <v/>
      </c>
      <c r="O202" s="44">
        <f>D202-N202</f>
        <v/>
      </c>
      <c r="P202" s="44">
        <f>ABS(O202)</f>
        <v/>
      </c>
      <c r="Q202" s="5">
        <f>RANK(P202,$P$3:$P$308,1)</f>
        <v/>
      </c>
      <c r="R202" s="5">
        <f>IF(O202&gt;0,"Over-predicted","Under-predicted")</f>
        <v/>
      </c>
    </row>
    <row r="203">
      <c r="A203" s="6" t="inlineStr">
        <is>
          <t>STR-1053</t>
        </is>
      </c>
      <c r="B203" s="6" t="inlineStr">
        <is>
          <t>High Street</t>
        </is>
      </c>
      <c r="C203" s="6" t="inlineStr">
        <is>
          <t>East</t>
        </is>
      </c>
      <c r="D203" s="45" t="n">
        <v>810446.53</v>
      </c>
      <c r="E203" s="8" t="n">
        <v>10125</v>
      </c>
      <c r="F203" s="8" t="n">
        <v>63457.19</v>
      </c>
      <c r="G203" s="8" t="n">
        <v>87</v>
      </c>
      <c r="H203" s="8" t="n">
        <v>3.7</v>
      </c>
      <c r="I203" s="8" t="n">
        <v>0.097</v>
      </c>
      <c r="J203" s="8" t="n">
        <v>1</v>
      </c>
      <c r="K203" s="8">
        <f>IF(B203="High Street",1,0)</f>
        <v/>
      </c>
      <c r="L203" s="8">
        <f>IF(B203="Airport",1,0)</f>
        <v/>
      </c>
      <c r="M203" s="8">
        <f>IF(B203="Mall",1,0)</f>
        <v/>
      </c>
      <c r="N203" s="45">
        <f>$U$3+$U$4*E203+$U$5*F203+$U$6*G203+$U$7*H203+$U$8*I203+$U$9*J203+$U$10*K203+$U$11*L203+$U$12*M203</f>
        <v/>
      </c>
      <c r="O203" s="45">
        <f>D203-N203</f>
        <v/>
      </c>
      <c r="P203" s="45">
        <f>ABS(O203)</f>
        <v/>
      </c>
      <c r="Q203" s="8">
        <f>RANK(P203,$P$3:$P$308,1)</f>
        <v/>
      </c>
      <c r="R203" s="8">
        <f>IF(O203&gt;0,"Over-predicted","Under-predicted")</f>
        <v/>
      </c>
    </row>
    <row r="204">
      <c r="A204" s="2" t="inlineStr">
        <is>
          <t>STR-1053</t>
        </is>
      </c>
      <c r="B204" s="2" t="inlineStr">
        <is>
          <t>High Street</t>
        </is>
      </c>
      <c r="C204" s="2" t="inlineStr">
        <is>
          <t>East</t>
        </is>
      </c>
      <c r="D204" s="44" t="n">
        <v>691288.1899999999</v>
      </c>
      <c r="E204" s="5" t="n">
        <v>9458</v>
      </c>
      <c r="F204" s="5" t="n">
        <v>62949.7</v>
      </c>
      <c r="G204" s="5" t="n">
        <v>84.90000000000001</v>
      </c>
      <c r="H204" s="5" t="n">
        <v>3.3</v>
      </c>
      <c r="I204" s="5" t="n">
        <v>0.171</v>
      </c>
      <c r="J204" s="5" t="n">
        <v>0</v>
      </c>
      <c r="K204" s="5">
        <f>IF(B204="High Street",1,0)</f>
        <v/>
      </c>
      <c r="L204" s="5">
        <f>IF(B204="Airport",1,0)</f>
        <v/>
      </c>
      <c r="M204" s="5">
        <f>IF(B204="Mall",1,0)</f>
        <v/>
      </c>
      <c r="N204" s="44">
        <f>$U$3+$U$4*E204+$U$5*F204+$U$6*G204+$U$7*H204+$U$8*I204+$U$9*J204+$U$10*K204+$U$11*L204+$U$12*M204</f>
        <v/>
      </c>
      <c r="O204" s="44">
        <f>D204-N204</f>
        <v/>
      </c>
      <c r="P204" s="44">
        <f>ABS(O204)</f>
        <v/>
      </c>
      <c r="Q204" s="5">
        <f>RANK(P204,$P$3:$P$308,1)</f>
        <v/>
      </c>
      <c r="R204" s="5">
        <f>IF(O204&gt;0,"Over-predicted","Under-predicted")</f>
        <v/>
      </c>
    </row>
    <row r="205">
      <c r="A205" s="6" t="inlineStr">
        <is>
          <t>STR-1053</t>
        </is>
      </c>
      <c r="B205" s="6" t="inlineStr">
        <is>
          <t>High Street</t>
        </is>
      </c>
      <c r="C205" s="6" t="inlineStr">
        <is>
          <t>East</t>
        </is>
      </c>
      <c r="D205" s="45" t="n">
        <v>946833.54</v>
      </c>
      <c r="E205" s="8" t="n">
        <v>12870</v>
      </c>
      <c r="F205" s="8" t="n">
        <v>107970.19</v>
      </c>
      <c r="G205" s="8" t="n">
        <v>91.7</v>
      </c>
      <c r="H205" s="8" t="n">
        <v>3.7</v>
      </c>
      <c r="I205" s="8" t="n">
        <v>0.029</v>
      </c>
      <c r="J205" s="8" t="n">
        <v>1</v>
      </c>
      <c r="K205" s="8">
        <f>IF(B205="High Street",1,0)</f>
        <v/>
      </c>
      <c r="L205" s="8">
        <f>IF(B205="Airport",1,0)</f>
        <v/>
      </c>
      <c r="M205" s="8">
        <f>IF(B205="Mall",1,0)</f>
        <v/>
      </c>
      <c r="N205" s="45">
        <f>$U$3+$U$4*E205+$U$5*F205+$U$6*G205+$U$7*H205+$U$8*I205+$U$9*J205+$U$10*K205+$U$11*L205+$U$12*M205</f>
        <v/>
      </c>
      <c r="O205" s="45">
        <f>D205-N205</f>
        <v/>
      </c>
      <c r="P205" s="45">
        <f>ABS(O205)</f>
        <v/>
      </c>
      <c r="Q205" s="8">
        <f>RANK(P205,$P$3:$P$308,1)</f>
        <v/>
      </c>
      <c r="R205" s="8">
        <f>IF(O205&gt;0,"Over-predicted","Under-predicted")</f>
        <v/>
      </c>
    </row>
    <row r="206">
      <c r="A206" s="2" t="inlineStr">
        <is>
          <t>STR-1053</t>
        </is>
      </c>
      <c r="B206" s="2" t="inlineStr">
        <is>
          <t>High Street</t>
        </is>
      </c>
      <c r="C206" s="2" t="inlineStr">
        <is>
          <t>East</t>
        </is>
      </c>
      <c r="D206" s="44" t="n">
        <v>761963.23</v>
      </c>
      <c r="E206" s="5" t="n">
        <v>9752</v>
      </c>
      <c r="F206" s="5" t="n">
        <v>49405.75</v>
      </c>
      <c r="G206" s="5" t="n">
        <v>87</v>
      </c>
      <c r="H206" s="5" t="n">
        <v>4.1</v>
      </c>
      <c r="I206" s="5" t="n">
        <v>0.093</v>
      </c>
      <c r="J206" s="5" t="n">
        <v>0</v>
      </c>
      <c r="K206" s="5">
        <f>IF(B206="High Street",1,0)</f>
        <v/>
      </c>
      <c r="L206" s="5">
        <f>IF(B206="Airport",1,0)</f>
        <v/>
      </c>
      <c r="M206" s="5">
        <f>IF(B206="Mall",1,0)</f>
        <v/>
      </c>
      <c r="N206" s="44">
        <f>$U$3+$U$4*E206+$U$5*F206+$U$6*G206+$U$7*H206+$U$8*I206+$U$9*J206+$U$10*K206+$U$11*L206+$U$12*M206</f>
        <v/>
      </c>
      <c r="O206" s="44">
        <f>D206-N206</f>
        <v/>
      </c>
      <c r="P206" s="44">
        <f>ABS(O206)</f>
        <v/>
      </c>
      <c r="Q206" s="5">
        <f>RANK(P206,$P$3:$P$308,1)</f>
        <v/>
      </c>
      <c r="R206" s="5">
        <f>IF(O206&gt;0,"Over-predicted","Under-predicted")</f>
        <v/>
      </c>
    </row>
    <row r="207">
      <c r="A207" s="6" t="inlineStr">
        <is>
          <t>STR-1054</t>
        </is>
      </c>
      <c r="B207" s="6" t="inlineStr">
        <is>
          <t>Residential</t>
        </is>
      </c>
      <c r="C207" s="6" t="inlineStr">
        <is>
          <t>West</t>
        </is>
      </c>
      <c r="D207" s="45" t="n">
        <v>812152.6</v>
      </c>
      <c r="E207" s="8" t="n">
        <v>9505</v>
      </c>
      <c r="F207" s="8" t="n">
        <v>50887.46</v>
      </c>
      <c r="G207" s="8" t="n">
        <v>89.7</v>
      </c>
      <c r="H207" s="8" t="n">
        <v>4.3</v>
      </c>
      <c r="I207" s="8" t="n">
        <v>0.091</v>
      </c>
      <c r="J207" s="8" t="n">
        <v>0</v>
      </c>
      <c r="K207" s="8">
        <f>IF(B207="High Street",1,0)</f>
        <v/>
      </c>
      <c r="L207" s="8">
        <f>IF(B207="Airport",1,0)</f>
        <v/>
      </c>
      <c r="M207" s="8">
        <f>IF(B207="Mall",1,0)</f>
        <v/>
      </c>
      <c r="N207" s="45">
        <f>$U$3+$U$4*E207+$U$5*F207+$U$6*G207+$U$7*H207+$U$8*I207+$U$9*J207+$U$10*K207+$U$11*L207+$U$12*M207</f>
        <v/>
      </c>
      <c r="O207" s="45">
        <f>D207-N207</f>
        <v/>
      </c>
      <c r="P207" s="45">
        <f>ABS(O207)</f>
        <v/>
      </c>
      <c r="Q207" s="8">
        <f>RANK(P207,$P$3:$P$308,1)</f>
        <v/>
      </c>
      <c r="R207" s="8">
        <f>IF(O207&gt;0,"Over-predicted","Under-predicted")</f>
        <v/>
      </c>
    </row>
    <row r="208">
      <c r="A208" s="2" t="inlineStr">
        <is>
          <t>STR-1054</t>
        </is>
      </c>
      <c r="B208" s="2" t="inlineStr">
        <is>
          <t>Residential</t>
        </is>
      </c>
      <c r="C208" s="2" t="inlineStr">
        <is>
          <t>West</t>
        </is>
      </c>
      <c r="D208" s="44" t="n">
        <v>804975.5</v>
      </c>
      <c r="E208" s="5" t="n">
        <v>9412</v>
      </c>
      <c r="F208" s="5" t="n">
        <v>41819.45</v>
      </c>
      <c r="G208" s="5" t="n">
        <v>91</v>
      </c>
      <c r="H208" s="5" t="n">
        <v>4.2</v>
      </c>
      <c r="I208" s="5" t="n">
        <v>0.15</v>
      </c>
      <c r="J208" s="5" t="n">
        <v>0</v>
      </c>
      <c r="K208" s="5">
        <f>IF(B208="High Street",1,0)</f>
        <v/>
      </c>
      <c r="L208" s="5">
        <f>IF(B208="Airport",1,0)</f>
        <v/>
      </c>
      <c r="M208" s="5">
        <f>IF(B208="Mall",1,0)</f>
        <v/>
      </c>
      <c r="N208" s="44">
        <f>$U$3+$U$4*E208+$U$5*F208+$U$6*G208+$U$7*H208+$U$8*I208+$U$9*J208+$U$10*K208+$U$11*L208+$U$12*M208</f>
        <v/>
      </c>
      <c r="O208" s="44">
        <f>D208-N208</f>
        <v/>
      </c>
      <c r="P208" s="44">
        <f>ABS(O208)</f>
        <v/>
      </c>
      <c r="Q208" s="5">
        <f>RANK(P208,$P$3:$P$308,1)</f>
        <v/>
      </c>
      <c r="R208" s="5">
        <f>IF(O208&gt;0,"Over-predicted","Under-predicted")</f>
        <v/>
      </c>
    </row>
    <row r="209">
      <c r="A209" s="6" t="inlineStr">
        <is>
          <t>STR-1054</t>
        </is>
      </c>
      <c r="B209" s="6" t="inlineStr">
        <is>
          <t>Residential</t>
        </is>
      </c>
      <c r="C209" s="6" t="inlineStr">
        <is>
          <t>West</t>
        </is>
      </c>
      <c r="D209" s="45" t="n">
        <v>752321.72</v>
      </c>
      <c r="E209" s="8" t="n">
        <v>9644</v>
      </c>
      <c r="F209" s="8" t="n">
        <v>35296.54</v>
      </c>
      <c r="G209" s="8" t="n">
        <v>88</v>
      </c>
      <c r="H209" s="8" t="n">
        <v>4.7</v>
      </c>
      <c r="I209" s="8" t="n">
        <v>0</v>
      </c>
      <c r="J209" s="8" t="n">
        <v>0</v>
      </c>
      <c r="K209" s="8">
        <f>IF(B209="High Street",1,0)</f>
        <v/>
      </c>
      <c r="L209" s="8">
        <f>IF(B209="Airport",1,0)</f>
        <v/>
      </c>
      <c r="M209" s="8">
        <f>IF(B209="Mall",1,0)</f>
        <v/>
      </c>
      <c r="N209" s="45">
        <f>$U$3+$U$4*E209+$U$5*F209+$U$6*G209+$U$7*H209+$U$8*I209+$U$9*J209+$U$10*K209+$U$11*L209+$U$12*M209</f>
        <v/>
      </c>
      <c r="O209" s="45">
        <f>D209-N209</f>
        <v/>
      </c>
      <c r="P209" s="45">
        <f>ABS(O209)</f>
        <v/>
      </c>
      <c r="Q209" s="8">
        <f>RANK(P209,$P$3:$P$308,1)</f>
        <v/>
      </c>
      <c r="R209" s="8">
        <f>IF(O209&gt;0,"Over-predicted","Under-predicted")</f>
        <v/>
      </c>
    </row>
    <row r="210">
      <c r="A210" s="2" t="inlineStr">
        <is>
          <t>STR-1054</t>
        </is>
      </c>
      <c r="B210" s="2" t="inlineStr">
        <is>
          <t>Residential</t>
        </is>
      </c>
      <c r="C210" s="2" t="inlineStr">
        <is>
          <t>West</t>
        </is>
      </c>
      <c r="D210" s="44" t="n">
        <v>836908.24</v>
      </c>
      <c r="E210" s="5" t="n">
        <v>11224</v>
      </c>
      <c r="F210" s="5" t="n">
        <v>47391.09</v>
      </c>
      <c r="G210" s="5" t="n">
        <v>88.40000000000001</v>
      </c>
      <c r="H210" s="5" t="n">
        <v>4.9</v>
      </c>
      <c r="I210" s="5" t="n">
        <v>0.147</v>
      </c>
      <c r="J210" s="5" t="n">
        <v>0</v>
      </c>
      <c r="K210" s="5">
        <f>IF(B210="High Street",1,0)</f>
        <v/>
      </c>
      <c r="L210" s="5">
        <f>IF(B210="Airport",1,0)</f>
        <v/>
      </c>
      <c r="M210" s="5">
        <f>IF(B210="Mall",1,0)</f>
        <v/>
      </c>
      <c r="N210" s="44">
        <f>$U$3+$U$4*E210+$U$5*F210+$U$6*G210+$U$7*H210+$U$8*I210+$U$9*J210+$U$10*K210+$U$11*L210+$U$12*M210</f>
        <v/>
      </c>
      <c r="O210" s="44">
        <f>D210-N210</f>
        <v/>
      </c>
      <c r="P210" s="44">
        <f>ABS(O210)</f>
        <v/>
      </c>
      <c r="Q210" s="5">
        <f>RANK(P210,$P$3:$P$308,1)</f>
        <v/>
      </c>
      <c r="R210" s="5">
        <f>IF(O210&gt;0,"Over-predicted","Under-predicted")</f>
        <v/>
      </c>
    </row>
    <row r="211">
      <c r="A211" s="6" t="inlineStr">
        <is>
          <t>STR-1055</t>
        </is>
      </c>
      <c r="B211" s="6" t="inlineStr">
        <is>
          <t>Airport</t>
        </is>
      </c>
      <c r="C211" s="6" t="inlineStr">
        <is>
          <t>North</t>
        </is>
      </c>
      <c r="D211" s="45" t="n">
        <v>674289.1</v>
      </c>
      <c r="E211" s="8" t="n">
        <v>5394</v>
      </c>
      <c r="F211" s="8" t="n">
        <v>69180.53999999999</v>
      </c>
      <c r="G211" s="8" t="n">
        <v>82.90000000000001</v>
      </c>
      <c r="H211" s="8" t="n">
        <v>3.3</v>
      </c>
      <c r="I211" s="8" t="n">
        <v>0.126</v>
      </c>
      <c r="J211" s="8" t="n">
        <v>0</v>
      </c>
      <c r="K211" s="8">
        <f>IF(B211="High Street",1,0)</f>
        <v/>
      </c>
      <c r="L211" s="8">
        <f>IF(B211="Airport",1,0)</f>
        <v/>
      </c>
      <c r="M211" s="8">
        <f>IF(B211="Mall",1,0)</f>
        <v/>
      </c>
      <c r="N211" s="45">
        <f>$U$3+$U$4*E211+$U$5*F211+$U$6*G211+$U$7*H211+$U$8*I211+$U$9*J211+$U$10*K211+$U$11*L211+$U$12*M211</f>
        <v/>
      </c>
      <c r="O211" s="45">
        <f>D211-N211</f>
        <v/>
      </c>
      <c r="P211" s="45">
        <f>ABS(O211)</f>
        <v/>
      </c>
      <c r="Q211" s="8">
        <f>RANK(P211,$P$3:$P$308,1)</f>
        <v/>
      </c>
      <c r="R211" s="8">
        <f>IF(O211&gt;0,"Over-predicted","Under-predicted")</f>
        <v/>
      </c>
    </row>
    <row r="212">
      <c r="A212" s="2" t="inlineStr">
        <is>
          <t>STR-1055</t>
        </is>
      </c>
      <c r="B212" s="2" t="inlineStr">
        <is>
          <t>Airport</t>
        </is>
      </c>
      <c r="C212" s="2" t="inlineStr">
        <is>
          <t>North</t>
        </is>
      </c>
      <c r="D212" s="44" t="n">
        <v>622892.42</v>
      </c>
      <c r="E212" s="5" t="n">
        <v>5014</v>
      </c>
      <c r="F212" s="5" t="n">
        <v>33987.33</v>
      </c>
      <c r="G212" s="5" t="n">
        <v>94.3</v>
      </c>
      <c r="H212" s="5" t="n">
        <v>3.9</v>
      </c>
      <c r="I212" s="5" t="n">
        <v>0.246</v>
      </c>
      <c r="J212" s="5" t="n">
        <v>0</v>
      </c>
      <c r="K212" s="5">
        <f>IF(B212="High Street",1,0)</f>
        <v/>
      </c>
      <c r="L212" s="5">
        <f>IF(B212="Airport",1,0)</f>
        <v/>
      </c>
      <c r="M212" s="5">
        <f>IF(B212="Mall",1,0)</f>
        <v/>
      </c>
      <c r="N212" s="44">
        <f>$U$3+$U$4*E212+$U$5*F212+$U$6*G212+$U$7*H212+$U$8*I212+$U$9*J212+$U$10*K212+$U$11*L212+$U$12*M212</f>
        <v/>
      </c>
      <c r="O212" s="44">
        <f>D212-N212</f>
        <v/>
      </c>
      <c r="P212" s="44">
        <f>ABS(O212)</f>
        <v/>
      </c>
      <c r="Q212" s="5">
        <f>RANK(P212,$P$3:$P$308,1)</f>
        <v/>
      </c>
      <c r="R212" s="5">
        <f>IF(O212&gt;0,"Over-predicted","Under-predicted")</f>
        <v/>
      </c>
    </row>
    <row r="213">
      <c r="A213" s="6" t="inlineStr">
        <is>
          <t>STR-1055</t>
        </is>
      </c>
      <c r="B213" s="6" t="inlineStr">
        <is>
          <t>Airport</t>
        </is>
      </c>
      <c r="C213" s="6" t="inlineStr">
        <is>
          <t>North</t>
        </is>
      </c>
      <c r="D213" s="45" t="n">
        <v>673348.5600000001</v>
      </c>
      <c r="E213" s="8" t="n">
        <v>4467</v>
      </c>
      <c r="F213" s="8" t="n">
        <v>58785.33</v>
      </c>
      <c r="G213" s="8" t="n">
        <v>90.7</v>
      </c>
      <c r="H213" s="8" t="n">
        <v>3.7</v>
      </c>
      <c r="I213" s="8" t="n">
        <v>0.229</v>
      </c>
      <c r="J213" s="8" t="n">
        <v>0</v>
      </c>
      <c r="K213" s="8">
        <f>IF(B213="High Street",1,0)</f>
        <v/>
      </c>
      <c r="L213" s="8">
        <f>IF(B213="Airport",1,0)</f>
        <v/>
      </c>
      <c r="M213" s="8">
        <f>IF(B213="Mall",1,0)</f>
        <v/>
      </c>
      <c r="N213" s="45">
        <f>$U$3+$U$4*E213+$U$5*F213+$U$6*G213+$U$7*H213+$U$8*I213+$U$9*J213+$U$10*K213+$U$11*L213+$U$12*M213</f>
        <v/>
      </c>
      <c r="O213" s="45">
        <f>D213-N213</f>
        <v/>
      </c>
      <c r="P213" s="45">
        <f>ABS(O213)</f>
        <v/>
      </c>
      <c r="Q213" s="8">
        <f>RANK(P213,$P$3:$P$308,1)</f>
        <v/>
      </c>
      <c r="R213" s="8">
        <f>IF(O213&gt;0,"Over-predicted","Under-predicted")</f>
        <v/>
      </c>
    </row>
    <row r="214">
      <c r="A214" s="2" t="inlineStr">
        <is>
          <t>STR-1055</t>
        </is>
      </c>
      <c r="B214" s="2" t="inlineStr">
        <is>
          <t>Airport</t>
        </is>
      </c>
      <c r="C214" s="2" t="inlineStr">
        <is>
          <t>North</t>
        </is>
      </c>
      <c r="D214" s="44" t="n">
        <v>606278.3</v>
      </c>
      <c r="E214" s="5" t="n">
        <v>4678</v>
      </c>
      <c r="F214" s="5" t="n">
        <v>16451.85</v>
      </c>
      <c r="G214" s="5" t="n">
        <v>95.90000000000001</v>
      </c>
      <c r="H214" s="5" t="n">
        <v>3.9</v>
      </c>
      <c r="I214" s="5" t="n">
        <v>0.133</v>
      </c>
      <c r="J214" s="5" t="n">
        <v>0</v>
      </c>
      <c r="K214" s="5">
        <f>IF(B214="High Street",1,0)</f>
        <v/>
      </c>
      <c r="L214" s="5">
        <f>IF(B214="Airport",1,0)</f>
        <v/>
      </c>
      <c r="M214" s="5">
        <f>IF(B214="Mall",1,0)</f>
        <v/>
      </c>
      <c r="N214" s="44">
        <f>$U$3+$U$4*E214+$U$5*F214+$U$6*G214+$U$7*H214+$U$8*I214+$U$9*J214+$U$10*K214+$U$11*L214+$U$12*M214</f>
        <v/>
      </c>
      <c r="O214" s="44">
        <f>D214-N214</f>
        <v/>
      </c>
      <c r="P214" s="44">
        <f>ABS(O214)</f>
        <v/>
      </c>
      <c r="Q214" s="5">
        <f>RANK(P214,$P$3:$P$308,1)</f>
        <v/>
      </c>
      <c r="R214" s="5">
        <f>IF(O214&gt;0,"Over-predicted","Under-predicted")</f>
        <v/>
      </c>
    </row>
    <row r="215">
      <c r="A215" s="6" t="inlineStr">
        <is>
          <t>STR-1056</t>
        </is>
      </c>
      <c r="B215" s="6" t="inlineStr">
        <is>
          <t>High Street</t>
        </is>
      </c>
      <c r="C215" s="6" t="inlineStr">
        <is>
          <t>East</t>
        </is>
      </c>
      <c r="D215" s="45" t="n">
        <v>712219.8100000001</v>
      </c>
      <c r="E215" s="8" t="n">
        <v>7291</v>
      </c>
      <c r="F215" s="8" t="n">
        <v>53367.73</v>
      </c>
      <c r="G215" s="8" t="n">
        <v>90.59999999999999</v>
      </c>
      <c r="H215" s="8" t="n">
        <v>3.8</v>
      </c>
      <c r="I215" s="8" t="n">
        <v>0.146</v>
      </c>
      <c r="J215" s="8" t="n">
        <v>1</v>
      </c>
      <c r="K215" s="8">
        <f>IF(B215="High Street",1,0)</f>
        <v/>
      </c>
      <c r="L215" s="8">
        <f>IF(B215="Airport",1,0)</f>
        <v/>
      </c>
      <c r="M215" s="8">
        <f>IF(B215="Mall",1,0)</f>
        <v/>
      </c>
      <c r="N215" s="45">
        <f>$U$3+$U$4*E215+$U$5*F215+$U$6*G215+$U$7*H215+$U$8*I215+$U$9*J215+$U$10*K215+$U$11*L215+$U$12*M215</f>
        <v/>
      </c>
      <c r="O215" s="45">
        <f>D215-N215</f>
        <v/>
      </c>
      <c r="P215" s="45">
        <f>ABS(O215)</f>
        <v/>
      </c>
      <c r="Q215" s="8">
        <f>RANK(P215,$P$3:$P$308,1)</f>
        <v/>
      </c>
      <c r="R215" s="8">
        <f>IF(O215&gt;0,"Over-predicted","Under-predicted")</f>
        <v/>
      </c>
    </row>
    <row r="216">
      <c r="A216" s="2" t="inlineStr">
        <is>
          <t>STR-1056</t>
        </is>
      </c>
      <c r="B216" s="2" t="inlineStr">
        <is>
          <t>High Street</t>
        </is>
      </c>
      <c r="C216" s="2" t="inlineStr">
        <is>
          <t>East</t>
        </is>
      </c>
      <c r="D216" s="44" t="n">
        <v>672670.54</v>
      </c>
      <c r="E216" s="5" t="n">
        <v>7404</v>
      </c>
      <c r="F216" s="5" t="n">
        <v>27194.64</v>
      </c>
      <c r="G216" s="5" t="n">
        <v>90.2</v>
      </c>
      <c r="H216" s="5" t="n">
        <v>3.4</v>
      </c>
      <c r="I216" s="5" t="n">
        <v>0.08799999999999999</v>
      </c>
      <c r="J216" s="5" t="n">
        <v>0</v>
      </c>
      <c r="K216" s="5">
        <f>IF(B216="High Street",1,0)</f>
        <v/>
      </c>
      <c r="L216" s="5">
        <f>IF(B216="Airport",1,0)</f>
        <v/>
      </c>
      <c r="M216" s="5">
        <f>IF(B216="Mall",1,0)</f>
        <v/>
      </c>
      <c r="N216" s="44">
        <f>$U$3+$U$4*E216+$U$5*F216+$U$6*G216+$U$7*H216+$U$8*I216+$U$9*J216+$U$10*K216+$U$11*L216+$U$12*M216</f>
        <v/>
      </c>
      <c r="O216" s="44">
        <f>D216-N216</f>
        <v/>
      </c>
      <c r="P216" s="44">
        <f>ABS(O216)</f>
        <v/>
      </c>
      <c r="Q216" s="5">
        <f>RANK(P216,$P$3:$P$308,1)</f>
        <v/>
      </c>
      <c r="R216" s="5">
        <f>IF(O216&gt;0,"Over-predicted","Under-predicted")</f>
        <v/>
      </c>
    </row>
    <row r="217">
      <c r="A217" s="6" t="inlineStr">
        <is>
          <t>STR-1056</t>
        </is>
      </c>
      <c r="B217" s="6" t="inlineStr">
        <is>
          <t>High Street</t>
        </is>
      </c>
      <c r="C217" s="6" t="inlineStr">
        <is>
          <t>East</t>
        </is>
      </c>
      <c r="D217" s="45" t="n">
        <v>732667.92</v>
      </c>
      <c r="E217" s="8" t="n">
        <v>7880</v>
      </c>
      <c r="F217" s="8" t="n">
        <v>66962.74000000001</v>
      </c>
      <c r="G217" s="8" t="n">
        <v>90.40000000000001</v>
      </c>
      <c r="H217" s="8" t="n">
        <v>3.3</v>
      </c>
      <c r="I217" s="8" t="n">
        <v>0.116</v>
      </c>
      <c r="J217" s="8" t="n">
        <v>0</v>
      </c>
      <c r="K217" s="8">
        <f>IF(B217="High Street",1,0)</f>
        <v/>
      </c>
      <c r="L217" s="8">
        <f>IF(B217="Airport",1,0)</f>
        <v/>
      </c>
      <c r="M217" s="8">
        <f>IF(B217="Mall",1,0)</f>
        <v/>
      </c>
      <c r="N217" s="45">
        <f>$U$3+$U$4*E217+$U$5*F217+$U$6*G217+$U$7*H217+$U$8*I217+$U$9*J217+$U$10*K217+$U$11*L217+$U$12*M217</f>
        <v/>
      </c>
      <c r="O217" s="45">
        <f>D217-N217</f>
        <v/>
      </c>
      <c r="P217" s="45">
        <f>ABS(O217)</f>
        <v/>
      </c>
      <c r="Q217" s="8">
        <f>RANK(P217,$P$3:$P$308,1)</f>
        <v/>
      </c>
      <c r="R217" s="8">
        <f>IF(O217&gt;0,"Over-predicted","Under-predicted")</f>
        <v/>
      </c>
    </row>
    <row r="218">
      <c r="A218" s="2" t="inlineStr">
        <is>
          <t>STR-1056</t>
        </is>
      </c>
      <c r="B218" s="2" t="inlineStr">
        <is>
          <t>High Street</t>
        </is>
      </c>
      <c r="C218" s="2" t="inlineStr">
        <is>
          <t>East</t>
        </is>
      </c>
      <c r="D218" s="44" t="n">
        <v>723531.4</v>
      </c>
      <c r="E218" s="5" t="n">
        <v>8773</v>
      </c>
      <c r="F218" s="5" t="n">
        <v>73540.99000000001</v>
      </c>
      <c r="G218" s="5" t="n">
        <v>84.40000000000001</v>
      </c>
      <c r="H218" s="5" t="n">
        <v>3.6</v>
      </c>
      <c r="I218" s="5" t="n">
        <v>0.035</v>
      </c>
      <c r="J218" s="5" t="n">
        <v>0</v>
      </c>
      <c r="K218" s="5">
        <f>IF(B218="High Street",1,0)</f>
        <v/>
      </c>
      <c r="L218" s="5">
        <f>IF(B218="Airport",1,0)</f>
        <v/>
      </c>
      <c r="M218" s="5">
        <f>IF(B218="Mall",1,0)</f>
        <v/>
      </c>
      <c r="N218" s="44">
        <f>$U$3+$U$4*E218+$U$5*F218+$U$6*G218+$U$7*H218+$U$8*I218+$U$9*J218+$U$10*K218+$U$11*L218+$U$12*M218</f>
        <v/>
      </c>
      <c r="O218" s="44">
        <f>D218-N218</f>
        <v/>
      </c>
      <c r="P218" s="44">
        <f>ABS(O218)</f>
        <v/>
      </c>
      <c r="Q218" s="5">
        <f>RANK(P218,$P$3:$P$308,1)</f>
        <v/>
      </c>
      <c r="R218" s="5">
        <f>IF(O218&gt;0,"Over-predicted","Under-predicted")</f>
        <v/>
      </c>
    </row>
    <row r="219">
      <c r="A219" s="6" t="inlineStr">
        <is>
          <t>STR-1057</t>
        </is>
      </c>
      <c r="B219" s="6" t="inlineStr">
        <is>
          <t>Mall</t>
        </is>
      </c>
      <c r="C219" s="6" t="inlineStr">
        <is>
          <t>East</t>
        </is>
      </c>
      <c r="D219" s="45" t="n">
        <v>641564.6</v>
      </c>
      <c r="E219" s="8" t="n">
        <v>4713</v>
      </c>
      <c r="F219" s="8" t="n">
        <v>68212.28999999999</v>
      </c>
      <c r="G219" s="8" t="n">
        <v>82.59999999999999</v>
      </c>
      <c r="H219" s="8" t="n">
        <v>3</v>
      </c>
      <c r="I219" s="8" t="n">
        <v>0.198</v>
      </c>
      <c r="J219" s="8" t="n">
        <v>1</v>
      </c>
      <c r="K219" s="8">
        <f>IF(B219="High Street",1,0)</f>
        <v/>
      </c>
      <c r="L219" s="8">
        <f>IF(B219="Airport",1,0)</f>
        <v/>
      </c>
      <c r="M219" s="8">
        <f>IF(B219="Mall",1,0)</f>
        <v/>
      </c>
      <c r="N219" s="45">
        <f>$U$3+$U$4*E219+$U$5*F219+$U$6*G219+$U$7*H219+$U$8*I219+$U$9*J219+$U$10*K219+$U$11*L219+$U$12*M219</f>
        <v/>
      </c>
      <c r="O219" s="45">
        <f>D219-N219</f>
        <v/>
      </c>
      <c r="P219" s="45">
        <f>ABS(O219)</f>
        <v/>
      </c>
      <c r="Q219" s="8">
        <f>RANK(P219,$P$3:$P$308,1)</f>
        <v/>
      </c>
      <c r="R219" s="8">
        <f>IF(O219&gt;0,"Over-predicted","Under-predicted")</f>
        <v/>
      </c>
    </row>
    <row r="220">
      <c r="A220" s="2" t="inlineStr">
        <is>
          <t>STR-1057</t>
        </is>
      </c>
      <c r="B220" s="2" t="inlineStr">
        <is>
          <t>Mall</t>
        </is>
      </c>
      <c r="C220" s="2" t="inlineStr">
        <is>
          <t>East</t>
        </is>
      </c>
      <c r="D220" s="44" t="n">
        <v>536545.49</v>
      </c>
      <c r="E220" s="5" t="n">
        <v>2842</v>
      </c>
      <c r="F220" s="5" t="n">
        <v>57225.98</v>
      </c>
      <c r="G220" s="5" t="n">
        <v>79.5</v>
      </c>
      <c r="H220" s="5" t="n">
        <v>3.4</v>
      </c>
      <c r="I220" s="5" t="n">
        <v>0.112</v>
      </c>
      <c r="J220" s="5" t="n">
        <v>0</v>
      </c>
      <c r="K220" s="5">
        <f>IF(B220="High Street",1,0)</f>
        <v/>
      </c>
      <c r="L220" s="5">
        <f>IF(B220="Airport",1,0)</f>
        <v/>
      </c>
      <c r="M220" s="5">
        <f>IF(B220="Mall",1,0)</f>
        <v/>
      </c>
      <c r="N220" s="44">
        <f>$U$3+$U$4*E220+$U$5*F220+$U$6*G220+$U$7*H220+$U$8*I220+$U$9*J220+$U$10*K220+$U$11*L220+$U$12*M220</f>
        <v/>
      </c>
      <c r="O220" s="44">
        <f>D220-N220</f>
        <v/>
      </c>
      <c r="P220" s="44">
        <f>ABS(O220)</f>
        <v/>
      </c>
      <c r="Q220" s="5">
        <f>RANK(P220,$P$3:$P$308,1)</f>
        <v/>
      </c>
      <c r="R220" s="5">
        <f>IF(O220&gt;0,"Over-predicted","Under-predicted")</f>
        <v/>
      </c>
    </row>
    <row r="221">
      <c r="A221" s="6" t="inlineStr">
        <is>
          <t>STR-1057</t>
        </is>
      </c>
      <c r="B221" s="6" t="inlineStr">
        <is>
          <t>Mall</t>
        </is>
      </c>
      <c r="C221" s="6" t="inlineStr">
        <is>
          <t>East</t>
        </is>
      </c>
      <c r="D221" s="45" t="n">
        <v>527681.5600000001</v>
      </c>
      <c r="E221" s="8" t="n">
        <v>3872</v>
      </c>
      <c r="F221" s="8" t="n">
        <v>42932.02</v>
      </c>
      <c r="G221" s="8" t="n">
        <v>83.2</v>
      </c>
      <c r="H221" s="8" t="n">
        <v>3.3</v>
      </c>
      <c r="I221" s="8" t="n">
        <v>0.171</v>
      </c>
      <c r="J221" s="8" t="n">
        <v>0</v>
      </c>
      <c r="K221" s="8">
        <f>IF(B221="High Street",1,0)</f>
        <v/>
      </c>
      <c r="L221" s="8">
        <f>IF(B221="Airport",1,0)</f>
        <v/>
      </c>
      <c r="M221" s="8">
        <f>IF(B221="Mall",1,0)</f>
        <v/>
      </c>
      <c r="N221" s="45">
        <f>$U$3+$U$4*E221+$U$5*F221+$U$6*G221+$U$7*H221+$U$8*I221+$U$9*J221+$U$10*K221+$U$11*L221+$U$12*M221</f>
        <v/>
      </c>
      <c r="O221" s="45">
        <f>D221-N221</f>
        <v/>
      </c>
      <c r="P221" s="45">
        <f>ABS(O221)</f>
        <v/>
      </c>
      <c r="Q221" s="8">
        <f>RANK(P221,$P$3:$P$308,1)</f>
        <v/>
      </c>
      <c r="R221" s="8">
        <f>IF(O221&gt;0,"Over-predicted","Under-predicted")</f>
        <v/>
      </c>
    </row>
    <row r="222">
      <c r="A222" s="2" t="inlineStr">
        <is>
          <t>STR-1058</t>
        </is>
      </c>
      <c r="B222" s="2" t="inlineStr">
        <is>
          <t>High Street</t>
        </is>
      </c>
      <c r="C222" s="2" t="inlineStr">
        <is>
          <t>East</t>
        </is>
      </c>
      <c r="D222" s="44" t="n">
        <v>570963.3100000001</v>
      </c>
      <c r="E222" s="5" t="n">
        <v>5957</v>
      </c>
      <c r="F222" s="5" t="n">
        <v>37324.23</v>
      </c>
      <c r="G222" s="5" t="n">
        <v>85.90000000000001</v>
      </c>
      <c r="H222" s="5" t="n">
        <v>3.8</v>
      </c>
      <c r="I222" s="5" t="n">
        <v>0.07099999999999999</v>
      </c>
      <c r="J222" s="5" t="n">
        <v>0</v>
      </c>
      <c r="K222" s="5">
        <f>IF(B222="High Street",1,0)</f>
        <v/>
      </c>
      <c r="L222" s="5">
        <f>IF(B222="Airport",1,0)</f>
        <v/>
      </c>
      <c r="M222" s="5">
        <f>IF(B222="Mall",1,0)</f>
        <v/>
      </c>
      <c r="N222" s="44">
        <f>$U$3+$U$4*E222+$U$5*F222+$U$6*G222+$U$7*H222+$U$8*I222+$U$9*J222+$U$10*K222+$U$11*L222+$U$12*M222</f>
        <v/>
      </c>
      <c r="O222" s="44">
        <f>D222-N222</f>
        <v/>
      </c>
      <c r="P222" s="44">
        <f>ABS(O222)</f>
        <v/>
      </c>
      <c r="Q222" s="5">
        <f>RANK(P222,$P$3:$P$308,1)</f>
        <v/>
      </c>
      <c r="R222" s="5">
        <f>IF(O222&gt;0,"Over-predicted","Under-predicted")</f>
        <v/>
      </c>
    </row>
    <row r="223">
      <c r="A223" s="6" t="inlineStr">
        <is>
          <t>STR-1058</t>
        </is>
      </c>
      <c r="B223" s="6" t="inlineStr">
        <is>
          <t>High Street</t>
        </is>
      </c>
      <c r="C223" s="6" t="inlineStr">
        <is>
          <t>East</t>
        </is>
      </c>
      <c r="D223" s="45" t="n">
        <v>870937.4</v>
      </c>
      <c r="E223" s="8" t="n">
        <v>8961</v>
      </c>
      <c r="F223" s="8" t="n">
        <v>113736</v>
      </c>
      <c r="G223" s="8" t="n">
        <v>86.2</v>
      </c>
      <c r="H223" s="8" t="n">
        <v>4</v>
      </c>
      <c r="I223" s="8" t="n">
        <v>0.202</v>
      </c>
      <c r="J223" s="8" t="n">
        <v>0</v>
      </c>
      <c r="K223" s="8">
        <f>IF(B223="High Street",1,0)</f>
        <v/>
      </c>
      <c r="L223" s="8">
        <f>IF(B223="Airport",1,0)</f>
        <v/>
      </c>
      <c r="M223" s="8">
        <f>IF(B223="Mall",1,0)</f>
        <v/>
      </c>
      <c r="N223" s="45">
        <f>$U$3+$U$4*E223+$U$5*F223+$U$6*G223+$U$7*H223+$U$8*I223+$U$9*J223+$U$10*K223+$U$11*L223+$U$12*M223</f>
        <v/>
      </c>
      <c r="O223" s="45">
        <f>D223-N223</f>
        <v/>
      </c>
      <c r="P223" s="45">
        <f>ABS(O223)</f>
        <v/>
      </c>
      <c r="Q223" s="8">
        <f>RANK(P223,$P$3:$P$308,1)</f>
        <v/>
      </c>
      <c r="R223" s="8">
        <f>IF(O223&gt;0,"Over-predicted","Under-predicted")</f>
        <v/>
      </c>
    </row>
    <row r="224">
      <c r="A224" s="2" t="inlineStr">
        <is>
          <t>STR-1058</t>
        </is>
      </c>
      <c r="B224" s="2" t="inlineStr">
        <is>
          <t>High Street</t>
        </is>
      </c>
      <c r="C224" s="2" t="inlineStr">
        <is>
          <t>East</t>
        </is>
      </c>
      <c r="D224" s="44" t="n">
        <v>596969.27</v>
      </c>
      <c r="E224" s="5" t="n">
        <v>6545</v>
      </c>
      <c r="F224" s="5" t="n">
        <v>33173.95</v>
      </c>
      <c r="G224" s="5" t="n">
        <v>84.40000000000001</v>
      </c>
      <c r="H224" s="5" t="n">
        <v>3.9</v>
      </c>
      <c r="I224" s="5" t="n">
        <v>0.169</v>
      </c>
      <c r="J224" s="5" t="n">
        <v>0</v>
      </c>
      <c r="K224" s="5">
        <f>IF(B224="High Street",1,0)</f>
        <v/>
      </c>
      <c r="L224" s="5">
        <f>IF(B224="Airport",1,0)</f>
        <v/>
      </c>
      <c r="M224" s="5">
        <f>IF(B224="Mall",1,0)</f>
        <v/>
      </c>
      <c r="N224" s="44">
        <f>$U$3+$U$4*E224+$U$5*F224+$U$6*G224+$U$7*H224+$U$8*I224+$U$9*J224+$U$10*K224+$U$11*L224+$U$12*M224</f>
        <v/>
      </c>
      <c r="O224" s="44">
        <f>D224-N224</f>
        <v/>
      </c>
      <c r="P224" s="44">
        <f>ABS(O224)</f>
        <v/>
      </c>
      <c r="Q224" s="5">
        <f>RANK(P224,$P$3:$P$308,1)</f>
        <v/>
      </c>
      <c r="R224" s="5">
        <f>IF(O224&gt;0,"Over-predicted","Under-predicted")</f>
        <v/>
      </c>
    </row>
    <row r="225">
      <c r="A225" s="6" t="inlineStr">
        <is>
          <t>STR-1059</t>
        </is>
      </c>
      <c r="B225" s="6" t="inlineStr">
        <is>
          <t>Residential</t>
        </is>
      </c>
      <c r="C225" s="6" t="inlineStr">
        <is>
          <t>West</t>
        </is>
      </c>
      <c r="D225" s="45" t="n">
        <v>658072.14</v>
      </c>
      <c r="E225" s="8" t="n">
        <v>4264</v>
      </c>
      <c r="F225" s="8" t="n">
        <v>47241.92</v>
      </c>
      <c r="G225" s="8" t="n">
        <v>95.3</v>
      </c>
      <c r="H225" s="8" t="n">
        <v>4.3</v>
      </c>
      <c r="I225" s="8" t="n">
        <v>0.06900000000000001</v>
      </c>
      <c r="J225" s="8" t="n">
        <v>0</v>
      </c>
      <c r="K225" s="8">
        <f>IF(B225="High Street",1,0)</f>
        <v/>
      </c>
      <c r="L225" s="8">
        <f>IF(B225="Airport",1,0)</f>
        <v/>
      </c>
      <c r="M225" s="8">
        <f>IF(B225="Mall",1,0)</f>
        <v/>
      </c>
      <c r="N225" s="45">
        <f>$U$3+$U$4*E225+$U$5*F225+$U$6*G225+$U$7*H225+$U$8*I225+$U$9*J225+$U$10*K225+$U$11*L225+$U$12*M225</f>
        <v/>
      </c>
      <c r="O225" s="45">
        <f>D225-N225</f>
        <v/>
      </c>
      <c r="P225" s="45">
        <f>ABS(O225)</f>
        <v/>
      </c>
      <c r="Q225" s="8">
        <f>RANK(P225,$P$3:$P$308,1)</f>
        <v/>
      </c>
      <c r="R225" s="8">
        <f>IF(O225&gt;0,"Over-predicted","Under-predicted")</f>
        <v/>
      </c>
    </row>
    <row r="226">
      <c r="A226" s="2" t="inlineStr">
        <is>
          <t>STR-1059</t>
        </is>
      </c>
      <c r="B226" s="2" t="inlineStr">
        <is>
          <t>Residential</t>
        </is>
      </c>
      <c r="C226" s="2" t="inlineStr">
        <is>
          <t>West</t>
        </is>
      </c>
      <c r="D226" s="44" t="n">
        <v>723305.11</v>
      </c>
      <c r="E226" s="5" t="n">
        <v>5321</v>
      </c>
      <c r="F226" s="5" t="n">
        <v>61650.79</v>
      </c>
      <c r="G226" s="5" t="n">
        <v>89.2</v>
      </c>
      <c r="H226" s="5" t="n">
        <v>4</v>
      </c>
      <c r="I226" s="5" t="n">
        <v>0.126</v>
      </c>
      <c r="J226" s="5" t="n">
        <v>0</v>
      </c>
      <c r="K226" s="5">
        <f>IF(B226="High Street",1,0)</f>
        <v/>
      </c>
      <c r="L226" s="5">
        <f>IF(B226="Airport",1,0)</f>
        <v/>
      </c>
      <c r="M226" s="5">
        <f>IF(B226="Mall",1,0)</f>
        <v/>
      </c>
      <c r="N226" s="44">
        <f>$U$3+$U$4*E226+$U$5*F226+$U$6*G226+$U$7*H226+$U$8*I226+$U$9*J226+$U$10*K226+$U$11*L226+$U$12*M226</f>
        <v/>
      </c>
      <c r="O226" s="44">
        <f>D226-N226</f>
        <v/>
      </c>
      <c r="P226" s="44">
        <f>ABS(O226)</f>
        <v/>
      </c>
      <c r="Q226" s="5">
        <f>RANK(P226,$P$3:$P$308,1)</f>
        <v/>
      </c>
      <c r="R226" s="5">
        <f>IF(O226&gt;0,"Over-predicted","Under-predicted")</f>
        <v/>
      </c>
    </row>
    <row r="227">
      <c r="A227" s="6" t="inlineStr">
        <is>
          <t>STR-1059</t>
        </is>
      </c>
      <c r="B227" s="6" t="inlineStr">
        <is>
          <t>Residential</t>
        </is>
      </c>
      <c r="C227" s="6" t="inlineStr">
        <is>
          <t>West</t>
        </is>
      </c>
      <c r="D227" s="45" t="n">
        <v>640666.53</v>
      </c>
      <c r="E227" s="8" t="n">
        <v>5479</v>
      </c>
      <c r="F227" s="8" t="n">
        <v>62582.71</v>
      </c>
      <c r="G227" s="8" t="n">
        <v>81.2</v>
      </c>
      <c r="H227" s="8" t="n">
        <v>4.5</v>
      </c>
      <c r="I227" s="8" t="n">
        <v>0.048</v>
      </c>
      <c r="J227" s="8" t="n">
        <v>0</v>
      </c>
      <c r="K227" s="8">
        <f>IF(B227="High Street",1,0)</f>
        <v/>
      </c>
      <c r="L227" s="8">
        <f>IF(B227="Airport",1,0)</f>
        <v/>
      </c>
      <c r="M227" s="8">
        <f>IF(B227="Mall",1,0)</f>
        <v/>
      </c>
      <c r="N227" s="45">
        <f>$U$3+$U$4*E227+$U$5*F227+$U$6*G227+$U$7*H227+$U$8*I227+$U$9*J227+$U$10*K227+$U$11*L227+$U$12*M227</f>
        <v/>
      </c>
      <c r="O227" s="45">
        <f>D227-N227</f>
        <v/>
      </c>
      <c r="P227" s="45">
        <f>ABS(O227)</f>
        <v/>
      </c>
      <c r="Q227" s="8">
        <f>RANK(P227,$P$3:$P$308,1)</f>
        <v/>
      </c>
      <c r="R227" s="8">
        <f>IF(O227&gt;0,"Over-predicted","Under-predicted")</f>
        <v/>
      </c>
    </row>
    <row r="228">
      <c r="A228" s="2" t="inlineStr">
        <is>
          <t>STR-1059</t>
        </is>
      </c>
      <c r="B228" s="2" t="inlineStr">
        <is>
          <t>Residential</t>
        </is>
      </c>
      <c r="C228" s="2" t="inlineStr">
        <is>
          <t>West</t>
        </is>
      </c>
      <c r="D228" s="44" t="n">
        <v>670629.48</v>
      </c>
      <c r="E228" s="5" t="n">
        <v>6169</v>
      </c>
      <c r="F228" s="5" t="n">
        <v>47944.14</v>
      </c>
      <c r="G228" s="5" t="n">
        <v>92.2</v>
      </c>
      <c r="H228" s="5" t="n">
        <v>4.1</v>
      </c>
      <c r="I228" s="5" t="n">
        <v>0.119</v>
      </c>
      <c r="J228" s="5" t="n">
        <v>0</v>
      </c>
      <c r="K228" s="5">
        <f>IF(B228="High Street",1,0)</f>
        <v/>
      </c>
      <c r="L228" s="5">
        <f>IF(B228="Airport",1,0)</f>
        <v/>
      </c>
      <c r="M228" s="5">
        <f>IF(B228="Mall",1,0)</f>
        <v/>
      </c>
      <c r="N228" s="44">
        <f>$U$3+$U$4*E228+$U$5*F228+$U$6*G228+$U$7*H228+$U$8*I228+$U$9*J228+$U$10*K228+$U$11*L228+$U$12*M228</f>
        <v/>
      </c>
      <c r="O228" s="44">
        <f>D228-N228</f>
        <v/>
      </c>
      <c r="P228" s="44">
        <f>ABS(O228)</f>
        <v/>
      </c>
      <c r="Q228" s="5">
        <f>RANK(P228,$P$3:$P$308,1)</f>
        <v/>
      </c>
      <c r="R228" s="5">
        <f>IF(O228&gt;0,"Over-predicted","Under-predicted")</f>
        <v/>
      </c>
    </row>
    <row r="229">
      <c r="A229" s="6" t="inlineStr">
        <is>
          <t>STR-1060</t>
        </is>
      </c>
      <c r="B229" s="6" t="inlineStr">
        <is>
          <t>Mall</t>
        </is>
      </c>
      <c r="C229" s="6" t="inlineStr">
        <is>
          <t>West</t>
        </is>
      </c>
      <c r="D229" s="45" t="n">
        <v>721079.35</v>
      </c>
      <c r="E229" s="8" t="n">
        <v>9908</v>
      </c>
      <c r="F229" s="8" t="n">
        <v>46495.4</v>
      </c>
      <c r="G229" s="8" t="n">
        <v>89.40000000000001</v>
      </c>
      <c r="H229" s="8" t="n">
        <v>3.7</v>
      </c>
      <c r="I229" s="8" t="n">
        <v>0.121</v>
      </c>
      <c r="J229" s="8" t="n">
        <v>0</v>
      </c>
      <c r="K229" s="8">
        <f>IF(B229="High Street",1,0)</f>
        <v/>
      </c>
      <c r="L229" s="8">
        <f>IF(B229="Airport",1,0)</f>
        <v/>
      </c>
      <c r="M229" s="8">
        <f>IF(B229="Mall",1,0)</f>
        <v/>
      </c>
      <c r="N229" s="45">
        <f>$U$3+$U$4*E229+$U$5*F229+$U$6*G229+$U$7*H229+$U$8*I229+$U$9*J229+$U$10*K229+$U$11*L229+$U$12*M229</f>
        <v/>
      </c>
      <c r="O229" s="45">
        <f>D229-N229</f>
        <v/>
      </c>
      <c r="P229" s="45">
        <f>ABS(O229)</f>
        <v/>
      </c>
      <c r="Q229" s="8">
        <f>RANK(P229,$P$3:$P$308,1)</f>
        <v/>
      </c>
      <c r="R229" s="8">
        <f>IF(O229&gt;0,"Over-predicted","Under-predicted")</f>
        <v/>
      </c>
    </row>
    <row r="230">
      <c r="A230" s="2" t="inlineStr">
        <is>
          <t>STR-1060</t>
        </is>
      </c>
      <c r="B230" s="2" t="inlineStr">
        <is>
          <t>Mall</t>
        </is>
      </c>
      <c r="C230" s="2" t="inlineStr">
        <is>
          <t>West</t>
        </is>
      </c>
      <c r="D230" s="44" t="n">
        <v>810355.02</v>
      </c>
      <c r="E230" s="5" t="n">
        <v>9996</v>
      </c>
      <c r="F230" s="5" t="n">
        <v>72961.95</v>
      </c>
      <c r="G230" s="5" t="n">
        <v>89.09999999999999</v>
      </c>
      <c r="H230" s="5" t="n">
        <v>3.4</v>
      </c>
      <c r="I230" s="5" t="n">
        <v>0.106</v>
      </c>
      <c r="J230" s="5" t="n">
        <v>0</v>
      </c>
      <c r="K230" s="5">
        <f>IF(B230="High Street",1,0)</f>
        <v/>
      </c>
      <c r="L230" s="5">
        <f>IF(B230="Airport",1,0)</f>
        <v/>
      </c>
      <c r="M230" s="5">
        <f>IF(B230="Mall",1,0)</f>
        <v/>
      </c>
      <c r="N230" s="44">
        <f>$U$3+$U$4*E230+$U$5*F230+$U$6*G230+$U$7*H230+$U$8*I230+$U$9*J230+$U$10*K230+$U$11*L230+$U$12*M230</f>
        <v/>
      </c>
      <c r="O230" s="44">
        <f>D230-N230</f>
        <v/>
      </c>
      <c r="P230" s="44">
        <f>ABS(O230)</f>
        <v/>
      </c>
      <c r="Q230" s="5">
        <f>RANK(P230,$P$3:$P$308,1)</f>
        <v/>
      </c>
      <c r="R230" s="5">
        <f>IF(O230&gt;0,"Over-predicted","Under-predicted")</f>
        <v/>
      </c>
    </row>
    <row r="231">
      <c r="A231" s="6" t="inlineStr">
        <is>
          <t>STR-1060</t>
        </is>
      </c>
      <c r="B231" s="6" t="inlineStr">
        <is>
          <t>Mall</t>
        </is>
      </c>
      <c r="C231" s="6" t="inlineStr">
        <is>
          <t>West</t>
        </is>
      </c>
      <c r="D231" s="45" t="n">
        <v>761919.25</v>
      </c>
      <c r="E231" s="8" t="n">
        <v>9702</v>
      </c>
      <c r="F231" s="8" t="n">
        <v>59060.05</v>
      </c>
      <c r="G231" s="8" t="n">
        <v>80.90000000000001</v>
      </c>
      <c r="H231" s="8" t="n">
        <v>3.2</v>
      </c>
      <c r="I231" s="8" t="n">
        <v>0.201</v>
      </c>
      <c r="J231" s="8" t="n">
        <v>0</v>
      </c>
      <c r="K231" s="8">
        <f>IF(B231="High Street",1,0)</f>
        <v/>
      </c>
      <c r="L231" s="8">
        <f>IF(B231="Airport",1,0)</f>
        <v/>
      </c>
      <c r="M231" s="8">
        <f>IF(B231="Mall",1,0)</f>
        <v/>
      </c>
      <c r="N231" s="45">
        <f>$U$3+$U$4*E231+$U$5*F231+$U$6*G231+$U$7*H231+$U$8*I231+$U$9*J231+$U$10*K231+$U$11*L231+$U$12*M231</f>
        <v/>
      </c>
      <c r="O231" s="45">
        <f>D231-N231</f>
        <v/>
      </c>
      <c r="P231" s="45">
        <f>ABS(O231)</f>
        <v/>
      </c>
      <c r="Q231" s="8">
        <f>RANK(P231,$P$3:$P$308,1)</f>
        <v/>
      </c>
      <c r="R231" s="8">
        <f>IF(O231&gt;0,"Over-predicted","Under-predicted")</f>
        <v/>
      </c>
    </row>
    <row r="232">
      <c r="A232" s="2" t="inlineStr">
        <is>
          <t>STR-1060</t>
        </is>
      </c>
      <c r="B232" s="2" t="inlineStr">
        <is>
          <t>Mall</t>
        </is>
      </c>
      <c r="C232" s="2" t="inlineStr">
        <is>
          <t>West</t>
        </is>
      </c>
      <c r="D232" s="44" t="n">
        <v>737070.1800000001</v>
      </c>
      <c r="E232" s="5" t="n">
        <v>9314</v>
      </c>
      <c r="F232" s="5" t="n">
        <v>26248.1</v>
      </c>
      <c r="G232" s="5" t="n">
        <v>83.7</v>
      </c>
      <c r="H232" s="5" t="n">
        <v>3.3</v>
      </c>
      <c r="I232" s="5" t="n">
        <v>0.186</v>
      </c>
      <c r="J232" s="5" t="n">
        <v>0</v>
      </c>
      <c r="K232" s="5">
        <f>IF(B232="High Street",1,0)</f>
        <v/>
      </c>
      <c r="L232" s="5">
        <f>IF(B232="Airport",1,0)</f>
        <v/>
      </c>
      <c r="M232" s="5">
        <f>IF(B232="Mall",1,0)</f>
        <v/>
      </c>
      <c r="N232" s="44">
        <f>$U$3+$U$4*E232+$U$5*F232+$U$6*G232+$U$7*H232+$U$8*I232+$U$9*J232+$U$10*K232+$U$11*L232+$U$12*M232</f>
        <v/>
      </c>
      <c r="O232" s="44">
        <f>D232-N232</f>
        <v/>
      </c>
      <c r="P232" s="44">
        <f>ABS(O232)</f>
        <v/>
      </c>
      <c r="Q232" s="5">
        <f>RANK(P232,$P$3:$P$308,1)</f>
        <v/>
      </c>
      <c r="R232" s="5">
        <f>IF(O232&gt;0,"Over-predicted","Under-predicted")</f>
        <v/>
      </c>
    </row>
    <row r="233">
      <c r="A233" s="6" t="inlineStr">
        <is>
          <t>STR-1061</t>
        </is>
      </c>
      <c r="B233" s="6" t="inlineStr">
        <is>
          <t>Airport</t>
        </is>
      </c>
      <c r="C233" s="6" t="inlineStr">
        <is>
          <t>South</t>
        </is>
      </c>
      <c r="D233" s="45" t="n">
        <v>776992.9300000001</v>
      </c>
      <c r="E233" s="8" t="n">
        <v>8055</v>
      </c>
      <c r="F233" s="8" t="n">
        <v>69900.12</v>
      </c>
      <c r="G233" s="8" t="n">
        <v>85.59999999999999</v>
      </c>
      <c r="H233" s="8" t="n">
        <v>2.9</v>
      </c>
      <c r="I233" s="8" t="n">
        <v>0.281</v>
      </c>
      <c r="J233" s="8" t="n">
        <v>1</v>
      </c>
      <c r="K233" s="8">
        <f>IF(B233="High Street",1,0)</f>
        <v/>
      </c>
      <c r="L233" s="8">
        <f>IF(B233="Airport",1,0)</f>
        <v/>
      </c>
      <c r="M233" s="8">
        <f>IF(B233="Mall",1,0)</f>
        <v/>
      </c>
      <c r="N233" s="45">
        <f>$U$3+$U$4*E233+$U$5*F233+$U$6*G233+$U$7*H233+$U$8*I233+$U$9*J233+$U$10*K233+$U$11*L233+$U$12*M233</f>
        <v/>
      </c>
      <c r="O233" s="45">
        <f>D233-N233</f>
        <v/>
      </c>
      <c r="P233" s="45">
        <f>ABS(O233)</f>
        <v/>
      </c>
      <c r="Q233" s="8">
        <f>RANK(P233,$P$3:$P$308,1)</f>
        <v/>
      </c>
      <c r="R233" s="8">
        <f>IF(O233&gt;0,"Over-predicted","Under-predicted")</f>
        <v/>
      </c>
    </row>
    <row r="234">
      <c r="A234" s="2" t="inlineStr">
        <is>
          <t>STR-1061</t>
        </is>
      </c>
      <c r="B234" s="2" t="inlineStr">
        <is>
          <t>Airport</t>
        </is>
      </c>
      <c r="C234" s="2" t="inlineStr">
        <is>
          <t>South</t>
        </is>
      </c>
      <c r="D234" s="44" t="n">
        <v>676337.41</v>
      </c>
      <c r="E234" s="5" t="n">
        <v>5648</v>
      </c>
      <c r="F234" s="5" t="n">
        <v>51781.6</v>
      </c>
      <c r="G234" s="5" t="n">
        <v>85.5</v>
      </c>
      <c r="H234" s="5" t="n">
        <v>3.7</v>
      </c>
      <c r="I234" s="5" t="n">
        <v>0.059</v>
      </c>
      <c r="J234" s="5" t="n">
        <v>0</v>
      </c>
      <c r="K234" s="5">
        <f>IF(B234="High Street",1,0)</f>
        <v/>
      </c>
      <c r="L234" s="5">
        <f>IF(B234="Airport",1,0)</f>
        <v/>
      </c>
      <c r="M234" s="5">
        <f>IF(B234="Mall",1,0)</f>
        <v/>
      </c>
      <c r="N234" s="44">
        <f>$U$3+$U$4*E234+$U$5*F234+$U$6*G234+$U$7*H234+$U$8*I234+$U$9*J234+$U$10*K234+$U$11*L234+$U$12*M234</f>
        <v/>
      </c>
      <c r="O234" s="44">
        <f>D234-N234</f>
        <v/>
      </c>
      <c r="P234" s="44">
        <f>ABS(O234)</f>
        <v/>
      </c>
      <c r="Q234" s="5">
        <f>RANK(P234,$P$3:$P$308,1)</f>
        <v/>
      </c>
      <c r="R234" s="5">
        <f>IF(O234&gt;0,"Over-predicted","Under-predicted")</f>
        <v/>
      </c>
    </row>
    <row r="235">
      <c r="A235" s="6" t="inlineStr">
        <is>
          <t>STR-1061</t>
        </is>
      </c>
      <c r="B235" s="6" t="inlineStr">
        <is>
          <t>Airport</t>
        </is>
      </c>
      <c r="C235" s="6" t="inlineStr">
        <is>
          <t>South</t>
        </is>
      </c>
      <c r="D235" s="45" t="n">
        <v>828219.67</v>
      </c>
      <c r="E235" s="8" t="n">
        <v>10076</v>
      </c>
      <c r="F235" s="8" t="n">
        <v>70799.64</v>
      </c>
      <c r="G235" s="8" t="n">
        <v>84.8</v>
      </c>
      <c r="H235" s="8" t="n">
        <v>3.5</v>
      </c>
      <c r="I235" s="8" t="n">
        <v>0.152</v>
      </c>
      <c r="J235" s="8" t="n">
        <v>0</v>
      </c>
      <c r="K235" s="8">
        <f>IF(B235="High Street",1,0)</f>
        <v/>
      </c>
      <c r="L235" s="8">
        <f>IF(B235="Airport",1,0)</f>
        <v/>
      </c>
      <c r="M235" s="8">
        <f>IF(B235="Mall",1,0)</f>
        <v/>
      </c>
      <c r="N235" s="45">
        <f>$U$3+$U$4*E235+$U$5*F235+$U$6*G235+$U$7*H235+$U$8*I235+$U$9*J235+$U$10*K235+$U$11*L235+$U$12*M235</f>
        <v/>
      </c>
      <c r="O235" s="45">
        <f>D235-N235</f>
        <v/>
      </c>
      <c r="P235" s="45">
        <f>ABS(O235)</f>
        <v/>
      </c>
      <c r="Q235" s="8">
        <f>RANK(P235,$P$3:$P$308,1)</f>
        <v/>
      </c>
      <c r="R235" s="8">
        <f>IF(O235&gt;0,"Over-predicted","Under-predicted")</f>
        <v/>
      </c>
    </row>
    <row r="236">
      <c r="A236" s="2" t="inlineStr">
        <is>
          <t>STR-1061</t>
        </is>
      </c>
      <c r="B236" s="2" t="inlineStr">
        <is>
          <t>Airport</t>
        </is>
      </c>
      <c r="C236" s="2" t="inlineStr">
        <is>
          <t>South</t>
        </is>
      </c>
      <c r="D236" s="44" t="n">
        <v>763159.92</v>
      </c>
      <c r="E236" s="5" t="n">
        <v>8004</v>
      </c>
      <c r="F236" s="5" t="n">
        <v>53546.34</v>
      </c>
      <c r="G236" s="5" t="n">
        <v>95.2</v>
      </c>
      <c r="H236" s="5" t="n">
        <v>3</v>
      </c>
      <c r="I236" s="5" t="n">
        <v>0</v>
      </c>
      <c r="J236" s="5" t="n">
        <v>0</v>
      </c>
      <c r="K236" s="5">
        <f>IF(B236="High Street",1,0)</f>
        <v/>
      </c>
      <c r="L236" s="5">
        <f>IF(B236="Airport",1,0)</f>
        <v/>
      </c>
      <c r="M236" s="5">
        <f>IF(B236="Mall",1,0)</f>
        <v/>
      </c>
      <c r="N236" s="44">
        <f>$U$3+$U$4*E236+$U$5*F236+$U$6*G236+$U$7*H236+$U$8*I236+$U$9*J236+$U$10*K236+$U$11*L236+$U$12*M236</f>
        <v/>
      </c>
      <c r="O236" s="44">
        <f>D236-N236</f>
        <v/>
      </c>
      <c r="P236" s="44">
        <f>ABS(O236)</f>
        <v/>
      </c>
      <c r="Q236" s="5">
        <f>RANK(P236,$P$3:$P$308,1)</f>
        <v/>
      </c>
      <c r="R236" s="5">
        <f>IF(O236&gt;0,"Over-predicted","Under-predicted")</f>
        <v/>
      </c>
    </row>
    <row r="237">
      <c r="A237" s="6" t="inlineStr">
        <is>
          <t>STR-1062</t>
        </is>
      </c>
      <c r="B237" s="6" t="inlineStr">
        <is>
          <t>High Street</t>
        </is>
      </c>
      <c r="C237" s="6" t="inlineStr">
        <is>
          <t>East</t>
        </is>
      </c>
      <c r="D237" s="45" t="n">
        <v>802001.6800000001</v>
      </c>
      <c r="E237" s="8" t="n">
        <v>8934</v>
      </c>
      <c r="F237" s="8" t="n">
        <v>76942.2</v>
      </c>
      <c r="G237" s="8" t="n">
        <v>91</v>
      </c>
      <c r="H237" s="8" t="n">
        <v>3.2</v>
      </c>
      <c r="I237" s="8" t="n">
        <v>0.08400000000000001</v>
      </c>
      <c r="J237" s="8" t="n">
        <v>0</v>
      </c>
      <c r="K237" s="8">
        <f>IF(B237="High Street",1,0)</f>
        <v/>
      </c>
      <c r="L237" s="8">
        <f>IF(B237="Airport",1,0)</f>
        <v/>
      </c>
      <c r="M237" s="8">
        <f>IF(B237="Mall",1,0)</f>
        <v/>
      </c>
      <c r="N237" s="45">
        <f>$U$3+$U$4*E237+$U$5*F237+$U$6*G237+$U$7*H237+$U$8*I237+$U$9*J237+$U$10*K237+$U$11*L237+$U$12*M237</f>
        <v/>
      </c>
      <c r="O237" s="45">
        <f>D237-N237</f>
        <v/>
      </c>
      <c r="P237" s="45">
        <f>ABS(O237)</f>
        <v/>
      </c>
      <c r="Q237" s="8">
        <f>RANK(P237,$P$3:$P$308,1)</f>
        <v/>
      </c>
      <c r="R237" s="8">
        <f>IF(O237&gt;0,"Over-predicted","Under-predicted")</f>
        <v/>
      </c>
    </row>
    <row r="238">
      <c r="A238" s="2" t="inlineStr">
        <is>
          <t>STR-1062</t>
        </is>
      </c>
      <c r="B238" s="2" t="inlineStr">
        <is>
          <t>High Street</t>
        </is>
      </c>
      <c r="C238" s="2" t="inlineStr">
        <is>
          <t>East</t>
        </is>
      </c>
      <c r="D238" s="44" t="n">
        <v>750471.34</v>
      </c>
      <c r="E238" s="5" t="n">
        <v>8733</v>
      </c>
      <c r="F238" s="5" t="n">
        <v>48060.78</v>
      </c>
      <c r="G238" s="5" t="n">
        <v>89.90000000000001</v>
      </c>
      <c r="H238" s="5" t="n">
        <v>3.4</v>
      </c>
      <c r="I238" s="5" t="n">
        <v>0</v>
      </c>
      <c r="J238" s="5" t="n">
        <v>0</v>
      </c>
      <c r="K238" s="5">
        <f>IF(B238="High Street",1,0)</f>
        <v/>
      </c>
      <c r="L238" s="5">
        <f>IF(B238="Airport",1,0)</f>
        <v/>
      </c>
      <c r="M238" s="5">
        <f>IF(B238="Mall",1,0)</f>
        <v/>
      </c>
      <c r="N238" s="44">
        <f>$U$3+$U$4*E238+$U$5*F238+$U$6*G238+$U$7*H238+$U$8*I238+$U$9*J238+$U$10*K238+$U$11*L238+$U$12*M238</f>
        <v/>
      </c>
      <c r="O238" s="44">
        <f>D238-N238</f>
        <v/>
      </c>
      <c r="P238" s="44">
        <f>ABS(O238)</f>
        <v/>
      </c>
      <c r="Q238" s="5">
        <f>RANK(P238,$P$3:$P$308,1)</f>
        <v/>
      </c>
      <c r="R238" s="5">
        <f>IF(O238&gt;0,"Over-predicted","Under-predicted")</f>
        <v/>
      </c>
    </row>
    <row r="239">
      <c r="A239" s="6" t="inlineStr">
        <is>
          <t>STR-1062</t>
        </is>
      </c>
      <c r="B239" s="6" t="inlineStr">
        <is>
          <t>High Street</t>
        </is>
      </c>
      <c r="C239" s="6" t="inlineStr">
        <is>
          <t>East</t>
        </is>
      </c>
      <c r="D239" s="45" t="n">
        <v>679230.86</v>
      </c>
      <c r="E239" s="8" t="n">
        <v>7374</v>
      </c>
      <c r="F239" s="8" t="n">
        <v>57390.04</v>
      </c>
      <c r="G239" s="8" t="n">
        <v>91.8</v>
      </c>
      <c r="H239" s="8" t="n">
        <v>3.1</v>
      </c>
      <c r="I239" s="8" t="n">
        <v>0.21</v>
      </c>
      <c r="J239" s="8" t="n">
        <v>0</v>
      </c>
      <c r="K239" s="8">
        <f>IF(B239="High Street",1,0)</f>
        <v/>
      </c>
      <c r="L239" s="8">
        <f>IF(B239="Airport",1,0)</f>
        <v/>
      </c>
      <c r="M239" s="8">
        <f>IF(B239="Mall",1,0)</f>
        <v/>
      </c>
      <c r="N239" s="45">
        <f>$U$3+$U$4*E239+$U$5*F239+$U$6*G239+$U$7*H239+$U$8*I239+$U$9*J239+$U$10*K239+$U$11*L239+$U$12*M239</f>
        <v/>
      </c>
      <c r="O239" s="45">
        <f>D239-N239</f>
        <v/>
      </c>
      <c r="P239" s="45">
        <f>ABS(O239)</f>
        <v/>
      </c>
      <c r="Q239" s="8">
        <f>RANK(P239,$P$3:$P$308,1)</f>
        <v/>
      </c>
      <c r="R239" s="8">
        <f>IF(O239&gt;0,"Over-predicted","Under-predicted")</f>
        <v/>
      </c>
    </row>
    <row r="240">
      <c r="A240" s="2" t="inlineStr">
        <is>
          <t>STR-1062</t>
        </is>
      </c>
      <c r="B240" s="2" t="inlineStr">
        <is>
          <t>High Street</t>
        </is>
      </c>
      <c r="C240" s="2" t="inlineStr">
        <is>
          <t>East</t>
        </is>
      </c>
      <c r="D240" s="44" t="n">
        <v>679888.74</v>
      </c>
      <c r="E240" s="5" t="n">
        <v>8119</v>
      </c>
      <c r="F240" s="5" t="n">
        <v>21536.18</v>
      </c>
      <c r="G240" s="5" t="n">
        <v>90.40000000000001</v>
      </c>
      <c r="H240" s="5" t="n">
        <v>3.3</v>
      </c>
      <c r="I240" s="5" t="n">
        <v>0.227</v>
      </c>
      <c r="J240" s="5" t="n">
        <v>0</v>
      </c>
      <c r="K240" s="5">
        <f>IF(B240="High Street",1,0)</f>
        <v/>
      </c>
      <c r="L240" s="5">
        <f>IF(B240="Airport",1,0)</f>
        <v/>
      </c>
      <c r="M240" s="5">
        <f>IF(B240="Mall",1,0)</f>
        <v/>
      </c>
      <c r="N240" s="44">
        <f>$U$3+$U$4*E240+$U$5*F240+$U$6*G240+$U$7*H240+$U$8*I240+$U$9*J240+$U$10*K240+$U$11*L240+$U$12*M240</f>
        <v/>
      </c>
      <c r="O240" s="44">
        <f>D240-N240</f>
        <v/>
      </c>
      <c r="P240" s="44">
        <f>ABS(O240)</f>
        <v/>
      </c>
      <c r="Q240" s="5">
        <f>RANK(P240,$P$3:$P$308,1)</f>
        <v/>
      </c>
      <c r="R240" s="5">
        <f>IF(O240&gt;0,"Over-predicted","Under-predicted")</f>
        <v/>
      </c>
    </row>
    <row r="241">
      <c r="A241" s="6" t="inlineStr">
        <is>
          <t>STR-1063</t>
        </is>
      </c>
      <c r="B241" s="6" t="inlineStr">
        <is>
          <t>High Street</t>
        </is>
      </c>
      <c r="C241" s="6" t="inlineStr">
        <is>
          <t>North</t>
        </is>
      </c>
      <c r="D241" s="45" t="n">
        <v>642751.42</v>
      </c>
      <c r="E241" s="8" t="n">
        <v>5765</v>
      </c>
      <c r="F241" s="8" t="n">
        <v>72932.55</v>
      </c>
      <c r="G241" s="8" t="n">
        <v>81.8</v>
      </c>
      <c r="H241" s="8" t="n">
        <v>3.6</v>
      </c>
      <c r="I241" s="8" t="n">
        <v>0.026</v>
      </c>
      <c r="J241" s="8" t="n">
        <v>0</v>
      </c>
      <c r="K241" s="8">
        <f>IF(B241="High Street",1,0)</f>
        <v/>
      </c>
      <c r="L241" s="8">
        <f>IF(B241="Airport",1,0)</f>
        <v/>
      </c>
      <c r="M241" s="8">
        <f>IF(B241="Mall",1,0)</f>
        <v/>
      </c>
      <c r="N241" s="45">
        <f>$U$3+$U$4*E241+$U$5*F241+$U$6*G241+$U$7*H241+$U$8*I241+$U$9*J241+$U$10*K241+$U$11*L241+$U$12*M241</f>
        <v/>
      </c>
      <c r="O241" s="45">
        <f>D241-N241</f>
        <v/>
      </c>
      <c r="P241" s="45">
        <f>ABS(O241)</f>
        <v/>
      </c>
      <c r="Q241" s="8">
        <f>RANK(P241,$P$3:$P$308,1)</f>
        <v/>
      </c>
      <c r="R241" s="8">
        <f>IF(O241&gt;0,"Over-predicted","Under-predicted")</f>
        <v/>
      </c>
    </row>
    <row r="242">
      <c r="A242" s="2" t="inlineStr">
        <is>
          <t>STR-1063</t>
        </is>
      </c>
      <c r="B242" s="2" t="inlineStr">
        <is>
          <t>High Street</t>
        </is>
      </c>
      <c r="C242" s="2" t="inlineStr">
        <is>
          <t>North</t>
        </is>
      </c>
      <c r="D242" s="44" t="n">
        <v>647953.78</v>
      </c>
      <c r="E242" s="5" t="n">
        <v>6322</v>
      </c>
      <c r="F242" s="5" t="n">
        <v>38361.93</v>
      </c>
      <c r="G242" s="5" t="n">
        <v>88.40000000000001</v>
      </c>
      <c r="H242" s="5" t="n">
        <v>4</v>
      </c>
      <c r="I242" s="5" t="n">
        <v>0.273</v>
      </c>
      <c r="J242" s="5" t="n">
        <v>0</v>
      </c>
      <c r="K242" s="5">
        <f>IF(B242="High Street",1,0)</f>
        <v/>
      </c>
      <c r="L242" s="5">
        <f>IF(B242="Airport",1,0)</f>
        <v/>
      </c>
      <c r="M242" s="5">
        <f>IF(B242="Mall",1,0)</f>
        <v/>
      </c>
      <c r="N242" s="44">
        <f>$U$3+$U$4*E242+$U$5*F242+$U$6*G242+$U$7*H242+$U$8*I242+$U$9*J242+$U$10*K242+$U$11*L242+$U$12*M242</f>
        <v/>
      </c>
      <c r="O242" s="44">
        <f>D242-N242</f>
        <v/>
      </c>
      <c r="P242" s="44">
        <f>ABS(O242)</f>
        <v/>
      </c>
      <c r="Q242" s="5">
        <f>RANK(P242,$P$3:$P$308,1)</f>
        <v/>
      </c>
      <c r="R242" s="5">
        <f>IF(O242&gt;0,"Over-predicted","Under-predicted")</f>
        <v/>
      </c>
    </row>
    <row r="243">
      <c r="A243" s="6" t="inlineStr">
        <is>
          <t>STR-1063</t>
        </is>
      </c>
      <c r="B243" s="6" t="inlineStr">
        <is>
          <t>High Street</t>
        </is>
      </c>
      <c r="C243" s="6" t="inlineStr">
        <is>
          <t>North</t>
        </is>
      </c>
      <c r="D243" s="45" t="n">
        <v>729440.45</v>
      </c>
      <c r="E243" s="8" t="n">
        <v>6840</v>
      </c>
      <c r="F243" s="8" t="n">
        <v>97480.94</v>
      </c>
      <c r="G243" s="8" t="n">
        <v>79.2</v>
      </c>
      <c r="H243" s="8" t="n">
        <v>4</v>
      </c>
      <c r="I243" s="8" t="n">
        <v>0.08699999999999999</v>
      </c>
      <c r="J243" s="8" t="n">
        <v>0</v>
      </c>
      <c r="K243" s="8">
        <f>IF(B243="High Street",1,0)</f>
        <v/>
      </c>
      <c r="L243" s="8">
        <f>IF(B243="Airport",1,0)</f>
        <v/>
      </c>
      <c r="M243" s="8">
        <f>IF(B243="Mall",1,0)</f>
        <v/>
      </c>
      <c r="N243" s="45">
        <f>$U$3+$U$4*E243+$U$5*F243+$U$6*G243+$U$7*H243+$U$8*I243+$U$9*J243+$U$10*K243+$U$11*L243+$U$12*M243</f>
        <v/>
      </c>
      <c r="O243" s="45">
        <f>D243-N243</f>
        <v/>
      </c>
      <c r="P243" s="45">
        <f>ABS(O243)</f>
        <v/>
      </c>
      <c r="Q243" s="8">
        <f>RANK(P243,$P$3:$P$308,1)</f>
        <v/>
      </c>
      <c r="R243" s="8">
        <f>IF(O243&gt;0,"Over-predicted","Under-predicted")</f>
        <v/>
      </c>
    </row>
    <row r="244">
      <c r="A244" s="2" t="inlineStr">
        <is>
          <t>STR-1064</t>
        </is>
      </c>
      <c r="B244" s="2" t="inlineStr">
        <is>
          <t>Airport</t>
        </is>
      </c>
      <c r="C244" s="2" t="inlineStr">
        <is>
          <t>South</t>
        </is>
      </c>
      <c r="D244" s="44" t="n">
        <v>764949</v>
      </c>
      <c r="E244" s="5" t="n">
        <v>6782</v>
      </c>
      <c r="F244" s="5" t="n">
        <v>81801.8</v>
      </c>
      <c r="G244" s="5" t="n">
        <v>99</v>
      </c>
      <c r="H244" s="5" t="n">
        <v>3.7</v>
      </c>
      <c r="I244" s="5" t="n">
        <v>0.05</v>
      </c>
      <c r="J244" s="5" t="n">
        <v>0</v>
      </c>
      <c r="K244" s="5">
        <f>IF(B244="High Street",1,0)</f>
        <v/>
      </c>
      <c r="L244" s="5">
        <f>IF(B244="Airport",1,0)</f>
        <v/>
      </c>
      <c r="M244" s="5">
        <f>IF(B244="Mall",1,0)</f>
        <v/>
      </c>
      <c r="N244" s="44">
        <f>$U$3+$U$4*E244+$U$5*F244+$U$6*G244+$U$7*H244+$U$8*I244+$U$9*J244+$U$10*K244+$U$11*L244+$U$12*M244</f>
        <v/>
      </c>
      <c r="O244" s="44">
        <f>D244-N244</f>
        <v/>
      </c>
      <c r="P244" s="44">
        <f>ABS(O244)</f>
        <v/>
      </c>
      <c r="Q244" s="5">
        <f>RANK(P244,$P$3:$P$308,1)</f>
        <v/>
      </c>
      <c r="R244" s="5">
        <f>IF(O244&gt;0,"Over-predicted","Under-predicted")</f>
        <v/>
      </c>
    </row>
    <row r="245">
      <c r="A245" s="6" t="inlineStr">
        <is>
          <t>STR-1064</t>
        </is>
      </c>
      <c r="B245" s="6" t="inlineStr">
        <is>
          <t>Airport</t>
        </is>
      </c>
      <c r="C245" s="6" t="inlineStr">
        <is>
          <t>South</t>
        </is>
      </c>
      <c r="D245" s="45" t="n">
        <v>799046.9399999999</v>
      </c>
      <c r="E245" s="8" t="n">
        <v>6856</v>
      </c>
      <c r="F245" s="8" t="n">
        <v>63582.11</v>
      </c>
      <c r="G245" s="8" t="n">
        <v>89.5</v>
      </c>
      <c r="H245" s="8" t="n">
        <v>3.2</v>
      </c>
      <c r="I245" s="8" t="n">
        <v>0.074</v>
      </c>
      <c r="J245" s="8" t="n">
        <v>0</v>
      </c>
      <c r="K245" s="8">
        <f>IF(B245="High Street",1,0)</f>
        <v/>
      </c>
      <c r="L245" s="8">
        <f>IF(B245="Airport",1,0)</f>
        <v/>
      </c>
      <c r="M245" s="8">
        <f>IF(B245="Mall",1,0)</f>
        <v/>
      </c>
      <c r="N245" s="45">
        <f>$U$3+$U$4*E245+$U$5*F245+$U$6*G245+$U$7*H245+$U$8*I245+$U$9*J245+$U$10*K245+$U$11*L245+$U$12*M245</f>
        <v/>
      </c>
      <c r="O245" s="45">
        <f>D245-N245</f>
        <v/>
      </c>
      <c r="P245" s="45">
        <f>ABS(O245)</f>
        <v/>
      </c>
      <c r="Q245" s="8">
        <f>RANK(P245,$P$3:$P$308,1)</f>
        <v/>
      </c>
      <c r="R245" s="8">
        <f>IF(O245&gt;0,"Over-predicted","Under-predicted")</f>
        <v/>
      </c>
    </row>
    <row r="246">
      <c r="A246" s="2" t="inlineStr">
        <is>
          <t>STR-1064</t>
        </is>
      </c>
      <c r="B246" s="2" t="inlineStr">
        <is>
          <t>Airport</t>
        </is>
      </c>
      <c r="C246" s="2" t="inlineStr">
        <is>
          <t>South</t>
        </is>
      </c>
      <c r="D246" s="44" t="n">
        <v>720079.54</v>
      </c>
      <c r="E246" s="5" t="n">
        <v>5641</v>
      </c>
      <c r="F246" s="5" t="n">
        <v>75412.74000000001</v>
      </c>
      <c r="G246" s="5" t="n">
        <v>87.90000000000001</v>
      </c>
      <c r="H246" s="5" t="n">
        <v>3.6</v>
      </c>
      <c r="I246" s="5" t="n">
        <v>0.059</v>
      </c>
      <c r="J246" s="5" t="n">
        <v>0</v>
      </c>
      <c r="K246" s="5">
        <f>IF(B246="High Street",1,0)</f>
        <v/>
      </c>
      <c r="L246" s="5">
        <f>IF(B246="Airport",1,0)</f>
        <v/>
      </c>
      <c r="M246" s="5">
        <f>IF(B246="Mall",1,0)</f>
        <v/>
      </c>
      <c r="N246" s="44">
        <f>$U$3+$U$4*E246+$U$5*F246+$U$6*G246+$U$7*H246+$U$8*I246+$U$9*J246+$U$10*K246+$U$11*L246+$U$12*M246</f>
        <v/>
      </c>
      <c r="O246" s="44">
        <f>D246-N246</f>
        <v/>
      </c>
      <c r="P246" s="44">
        <f>ABS(O246)</f>
        <v/>
      </c>
      <c r="Q246" s="5">
        <f>RANK(P246,$P$3:$P$308,1)</f>
        <v/>
      </c>
      <c r="R246" s="5">
        <f>IF(O246&gt;0,"Over-predicted","Under-predicted")</f>
        <v/>
      </c>
    </row>
    <row r="247">
      <c r="A247" s="6" t="inlineStr">
        <is>
          <t>STR-1064</t>
        </is>
      </c>
      <c r="B247" s="6" t="inlineStr">
        <is>
          <t>Airport</t>
        </is>
      </c>
      <c r="C247" s="6" t="inlineStr">
        <is>
          <t>South</t>
        </is>
      </c>
      <c r="D247" s="45" t="n">
        <v>612390.14</v>
      </c>
      <c r="E247" s="8" t="n">
        <v>5787</v>
      </c>
      <c r="F247" s="8" t="n">
        <v>36290.08</v>
      </c>
      <c r="G247" s="8" t="n">
        <v>88.3</v>
      </c>
      <c r="H247" s="8" t="n">
        <v>4.1</v>
      </c>
      <c r="I247" s="8" t="n">
        <v>0</v>
      </c>
      <c r="J247" s="8" t="n">
        <v>0</v>
      </c>
      <c r="K247" s="8">
        <f>IF(B247="High Street",1,0)</f>
        <v/>
      </c>
      <c r="L247" s="8">
        <f>IF(B247="Airport",1,0)</f>
        <v/>
      </c>
      <c r="M247" s="8">
        <f>IF(B247="Mall",1,0)</f>
        <v/>
      </c>
      <c r="N247" s="45">
        <f>$U$3+$U$4*E247+$U$5*F247+$U$6*G247+$U$7*H247+$U$8*I247+$U$9*J247+$U$10*K247+$U$11*L247+$U$12*M247</f>
        <v/>
      </c>
      <c r="O247" s="45">
        <f>D247-N247</f>
        <v/>
      </c>
      <c r="P247" s="45">
        <f>ABS(O247)</f>
        <v/>
      </c>
      <c r="Q247" s="8">
        <f>RANK(P247,$P$3:$P$308,1)</f>
        <v/>
      </c>
      <c r="R247" s="8">
        <f>IF(O247&gt;0,"Over-predicted","Under-predicted")</f>
        <v/>
      </c>
    </row>
    <row r="248">
      <c r="A248" s="2" t="inlineStr">
        <is>
          <t>STR-1065</t>
        </is>
      </c>
      <c r="B248" s="2" t="inlineStr">
        <is>
          <t>Mall</t>
        </is>
      </c>
      <c r="C248" s="2" t="inlineStr">
        <is>
          <t>South</t>
        </is>
      </c>
      <c r="D248" s="44" t="n">
        <v>840108.12</v>
      </c>
      <c r="E248" s="5" t="n">
        <v>8165</v>
      </c>
      <c r="F248" s="5" t="n">
        <v>65272.58</v>
      </c>
      <c r="G248" s="5" t="n">
        <v>87.8</v>
      </c>
      <c r="H248" s="5" t="n">
        <v>4.3</v>
      </c>
      <c r="I248" s="5" t="n">
        <v>0.051</v>
      </c>
      <c r="J248" s="5" t="n">
        <v>1</v>
      </c>
      <c r="K248" s="5">
        <f>IF(B248="High Street",1,0)</f>
        <v/>
      </c>
      <c r="L248" s="5">
        <f>IF(B248="Airport",1,0)</f>
        <v/>
      </c>
      <c r="M248" s="5">
        <f>IF(B248="Mall",1,0)</f>
        <v/>
      </c>
      <c r="N248" s="44">
        <f>$U$3+$U$4*E248+$U$5*F248+$U$6*G248+$U$7*H248+$U$8*I248+$U$9*J248+$U$10*K248+$U$11*L248+$U$12*M248</f>
        <v/>
      </c>
      <c r="O248" s="44">
        <f>D248-N248</f>
        <v/>
      </c>
      <c r="P248" s="44">
        <f>ABS(O248)</f>
        <v/>
      </c>
      <c r="Q248" s="5">
        <f>RANK(P248,$P$3:$P$308,1)</f>
        <v/>
      </c>
      <c r="R248" s="5">
        <f>IF(O248&gt;0,"Over-predicted","Under-predicted")</f>
        <v/>
      </c>
    </row>
    <row r="249">
      <c r="A249" s="6" t="inlineStr">
        <is>
          <t>STR-1065</t>
        </is>
      </c>
      <c r="B249" s="6" t="inlineStr">
        <is>
          <t>Mall</t>
        </is>
      </c>
      <c r="C249" s="6" t="inlineStr">
        <is>
          <t>South</t>
        </is>
      </c>
      <c r="D249" s="45" t="n">
        <v>697888.09</v>
      </c>
      <c r="E249" s="8" t="n">
        <v>7574</v>
      </c>
      <c r="F249" s="8" t="n">
        <v>28670.43</v>
      </c>
      <c r="G249" s="8" t="n">
        <v>82.7</v>
      </c>
      <c r="H249" s="8" t="n">
        <v>4.6</v>
      </c>
      <c r="I249" s="8" t="n">
        <v>0.114</v>
      </c>
      <c r="J249" s="8" t="n">
        <v>0</v>
      </c>
      <c r="K249" s="8">
        <f>IF(B249="High Street",1,0)</f>
        <v/>
      </c>
      <c r="L249" s="8">
        <f>IF(B249="Airport",1,0)</f>
        <v/>
      </c>
      <c r="M249" s="8">
        <f>IF(B249="Mall",1,0)</f>
        <v/>
      </c>
      <c r="N249" s="45">
        <f>$U$3+$U$4*E249+$U$5*F249+$U$6*G249+$U$7*H249+$U$8*I249+$U$9*J249+$U$10*K249+$U$11*L249+$U$12*M249</f>
        <v/>
      </c>
      <c r="O249" s="45">
        <f>D249-N249</f>
        <v/>
      </c>
      <c r="P249" s="45">
        <f>ABS(O249)</f>
        <v/>
      </c>
      <c r="Q249" s="8">
        <f>RANK(P249,$P$3:$P$308,1)</f>
        <v/>
      </c>
      <c r="R249" s="8">
        <f>IF(O249&gt;0,"Over-predicted","Under-predicted")</f>
        <v/>
      </c>
    </row>
    <row r="250">
      <c r="A250" s="2" t="inlineStr">
        <is>
          <t>STR-1065</t>
        </is>
      </c>
      <c r="B250" s="2" t="inlineStr">
        <is>
          <t>Mall</t>
        </is>
      </c>
      <c r="C250" s="2" t="inlineStr">
        <is>
          <t>South</t>
        </is>
      </c>
      <c r="D250" s="44" t="n">
        <v>746115.59</v>
      </c>
      <c r="E250" s="5" t="n">
        <v>8634</v>
      </c>
      <c r="F250" s="5" t="n">
        <v>44189.34</v>
      </c>
      <c r="G250" s="5" t="n">
        <v>87.5</v>
      </c>
      <c r="H250" s="5" t="n">
        <v>4.4</v>
      </c>
      <c r="I250" s="5" t="n">
        <v>0.143</v>
      </c>
      <c r="J250" s="5" t="n">
        <v>0</v>
      </c>
      <c r="K250" s="5">
        <f>IF(B250="High Street",1,0)</f>
        <v/>
      </c>
      <c r="L250" s="5">
        <f>IF(B250="Airport",1,0)</f>
        <v/>
      </c>
      <c r="M250" s="5">
        <f>IF(B250="Mall",1,0)</f>
        <v/>
      </c>
      <c r="N250" s="44">
        <f>$U$3+$U$4*E250+$U$5*F250+$U$6*G250+$U$7*H250+$U$8*I250+$U$9*J250+$U$10*K250+$U$11*L250+$U$12*M250</f>
        <v/>
      </c>
      <c r="O250" s="44">
        <f>D250-N250</f>
        <v/>
      </c>
      <c r="P250" s="44">
        <f>ABS(O250)</f>
        <v/>
      </c>
      <c r="Q250" s="5">
        <f>RANK(P250,$P$3:$P$308,1)</f>
        <v/>
      </c>
      <c r="R250" s="5">
        <f>IF(O250&gt;0,"Over-predicted","Under-predicted")</f>
        <v/>
      </c>
    </row>
    <row r="251">
      <c r="A251" s="6" t="inlineStr">
        <is>
          <t>STR-1065</t>
        </is>
      </c>
      <c r="B251" s="6" t="inlineStr">
        <is>
          <t>Mall</t>
        </is>
      </c>
      <c r="C251" s="6" t="inlineStr">
        <is>
          <t>South</t>
        </is>
      </c>
      <c r="D251" s="45" t="n">
        <v>776110.3199999999</v>
      </c>
      <c r="E251" s="8" t="n">
        <v>7836</v>
      </c>
      <c r="F251" s="8" t="n">
        <v>38397.82</v>
      </c>
      <c r="G251" s="8" t="n">
        <v>92.2</v>
      </c>
      <c r="H251" s="8" t="n">
        <v>3.6</v>
      </c>
      <c r="I251" s="8" t="n">
        <v>0.007</v>
      </c>
      <c r="J251" s="8" t="n">
        <v>0</v>
      </c>
      <c r="K251" s="8">
        <f>IF(B251="High Street",1,0)</f>
        <v/>
      </c>
      <c r="L251" s="8">
        <f>IF(B251="Airport",1,0)</f>
        <v/>
      </c>
      <c r="M251" s="8">
        <f>IF(B251="Mall",1,0)</f>
        <v/>
      </c>
      <c r="N251" s="45">
        <f>$U$3+$U$4*E251+$U$5*F251+$U$6*G251+$U$7*H251+$U$8*I251+$U$9*J251+$U$10*K251+$U$11*L251+$U$12*M251</f>
        <v/>
      </c>
      <c r="O251" s="45">
        <f>D251-N251</f>
        <v/>
      </c>
      <c r="P251" s="45">
        <f>ABS(O251)</f>
        <v/>
      </c>
      <c r="Q251" s="8">
        <f>RANK(P251,$P$3:$P$308,1)</f>
        <v/>
      </c>
      <c r="R251" s="8">
        <f>IF(O251&gt;0,"Over-predicted","Under-predicted")</f>
        <v/>
      </c>
    </row>
    <row r="252">
      <c r="A252" s="2" t="inlineStr">
        <is>
          <t>STR-1066</t>
        </is>
      </c>
      <c r="B252" s="2" t="inlineStr">
        <is>
          <t>High Street</t>
        </is>
      </c>
      <c r="C252" s="2" t="inlineStr">
        <is>
          <t>West</t>
        </is>
      </c>
      <c r="D252" s="44" t="n">
        <v>528852.62</v>
      </c>
      <c r="E252" s="5" t="n">
        <v>3047</v>
      </c>
      <c r="F252" s="5" t="n">
        <v>14519.37</v>
      </c>
      <c r="G252" s="5" t="n">
        <v>90.3</v>
      </c>
      <c r="H252" s="5" t="n">
        <v>4.2</v>
      </c>
      <c r="I252" s="5" t="n">
        <v>0.135</v>
      </c>
      <c r="J252" s="5" t="n">
        <v>0</v>
      </c>
      <c r="K252" s="5">
        <f>IF(B252="High Street",1,0)</f>
        <v/>
      </c>
      <c r="L252" s="5">
        <f>IF(B252="Airport",1,0)</f>
        <v/>
      </c>
      <c r="M252" s="5">
        <f>IF(B252="Mall",1,0)</f>
        <v/>
      </c>
      <c r="N252" s="44">
        <f>$U$3+$U$4*E252+$U$5*F252+$U$6*G252+$U$7*H252+$U$8*I252+$U$9*J252+$U$10*K252+$U$11*L252+$U$12*M252</f>
        <v/>
      </c>
      <c r="O252" s="44">
        <f>D252-N252</f>
        <v/>
      </c>
      <c r="P252" s="44">
        <f>ABS(O252)</f>
        <v/>
      </c>
      <c r="Q252" s="5">
        <f>RANK(P252,$P$3:$P$308,1)</f>
        <v/>
      </c>
      <c r="R252" s="5">
        <f>IF(O252&gt;0,"Over-predicted","Under-predicted")</f>
        <v/>
      </c>
    </row>
    <row r="253">
      <c r="A253" s="6" t="inlineStr">
        <is>
          <t>STR-1066</t>
        </is>
      </c>
      <c r="B253" s="6" t="inlineStr">
        <is>
          <t>High Street</t>
        </is>
      </c>
      <c r="C253" s="6" t="inlineStr">
        <is>
          <t>West</t>
        </is>
      </c>
      <c r="D253" s="45" t="n">
        <v>677640.65</v>
      </c>
      <c r="E253" s="8" t="n">
        <v>4902</v>
      </c>
      <c r="F253" s="8" t="n">
        <v>51450.55</v>
      </c>
      <c r="G253" s="8" t="n">
        <v>83.7</v>
      </c>
      <c r="H253" s="8" t="n">
        <v>4.2</v>
      </c>
      <c r="I253" s="8" t="n">
        <v>0.08599999999999999</v>
      </c>
      <c r="J253" s="8" t="n">
        <v>1</v>
      </c>
      <c r="K253" s="8">
        <f>IF(B253="High Street",1,0)</f>
        <v/>
      </c>
      <c r="L253" s="8">
        <f>IF(B253="Airport",1,0)</f>
        <v/>
      </c>
      <c r="M253" s="8">
        <f>IF(B253="Mall",1,0)</f>
        <v/>
      </c>
      <c r="N253" s="45">
        <f>$U$3+$U$4*E253+$U$5*F253+$U$6*G253+$U$7*H253+$U$8*I253+$U$9*J253+$U$10*K253+$U$11*L253+$U$12*M253</f>
        <v/>
      </c>
      <c r="O253" s="45">
        <f>D253-N253</f>
        <v/>
      </c>
      <c r="P253" s="45">
        <f>ABS(O253)</f>
        <v/>
      </c>
      <c r="Q253" s="8">
        <f>RANK(P253,$P$3:$P$308,1)</f>
        <v/>
      </c>
      <c r="R253" s="8">
        <f>IF(O253&gt;0,"Over-predicted","Under-predicted")</f>
        <v/>
      </c>
    </row>
    <row r="254">
      <c r="A254" s="2" t="inlineStr">
        <is>
          <t>STR-1066</t>
        </is>
      </c>
      <c r="B254" s="2" t="inlineStr">
        <is>
          <t>High Street</t>
        </is>
      </c>
      <c r="C254" s="2" t="inlineStr">
        <is>
          <t>West</t>
        </is>
      </c>
      <c r="D254" s="44" t="n">
        <v>636613.23</v>
      </c>
      <c r="E254" s="5" t="n">
        <v>4022</v>
      </c>
      <c r="F254" s="5" t="n">
        <v>58688.26</v>
      </c>
      <c r="G254" s="5" t="n">
        <v>93.8</v>
      </c>
      <c r="H254" s="5" t="n">
        <v>3.7</v>
      </c>
      <c r="I254" s="5" t="n">
        <v>0.217</v>
      </c>
      <c r="J254" s="5" t="n">
        <v>0</v>
      </c>
      <c r="K254" s="5">
        <f>IF(B254="High Street",1,0)</f>
        <v/>
      </c>
      <c r="L254" s="5">
        <f>IF(B254="Airport",1,0)</f>
        <v/>
      </c>
      <c r="M254" s="5">
        <f>IF(B254="Mall",1,0)</f>
        <v/>
      </c>
      <c r="N254" s="44">
        <f>$U$3+$U$4*E254+$U$5*F254+$U$6*G254+$U$7*H254+$U$8*I254+$U$9*J254+$U$10*K254+$U$11*L254+$U$12*M254</f>
        <v/>
      </c>
      <c r="O254" s="44">
        <f>D254-N254</f>
        <v/>
      </c>
      <c r="P254" s="44">
        <f>ABS(O254)</f>
        <v/>
      </c>
      <c r="Q254" s="5">
        <f>RANK(P254,$P$3:$P$308,1)</f>
        <v/>
      </c>
      <c r="R254" s="5">
        <f>IF(O254&gt;0,"Over-predicted","Under-predicted")</f>
        <v/>
      </c>
    </row>
    <row r="255">
      <c r="A255" s="6" t="inlineStr">
        <is>
          <t>STR-1067</t>
        </is>
      </c>
      <c r="B255" s="6" t="inlineStr">
        <is>
          <t>High Street</t>
        </is>
      </c>
      <c r="C255" s="6" t="inlineStr">
        <is>
          <t>East</t>
        </is>
      </c>
      <c r="D255" s="45" t="n">
        <v>708985.1899999999</v>
      </c>
      <c r="E255" s="8" t="n">
        <v>7324</v>
      </c>
      <c r="F255" s="8" t="n">
        <v>58981.91</v>
      </c>
      <c r="G255" s="8" t="n">
        <v>95.8</v>
      </c>
      <c r="H255" s="8" t="n">
        <v>3.5</v>
      </c>
      <c r="I255" s="8" t="n">
        <v>0.094</v>
      </c>
      <c r="J255" s="8" t="n">
        <v>0</v>
      </c>
      <c r="K255" s="8">
        <f>IF(B255="High Street",1,0)</f>
        <v/>
      </c>
      <c r="L255" s="8">
        <f>IF(B255="Airport",1,0)</f>
        <v/>
      </c>
      <c r="M255" s="8">
        <f>IF(B255="Mall",1,0)</f>
        <v/>
      </c>
      <c r="N255" s="45">
        <f>$U$3+$U$4*E255+$U$5*F255+$U$6*G255+$U$7*H255+$U$8*I255+$U$9*J255+$U$10*K255+$U$11*L255+$U$12*M255</f>
        <v/>
      </c>
      <c r="O255" s="45">
        <f>D255-N255</f>
        <v/>
      </c>
      <c r="P255" s="45">
        <f>ABS(O255)</f>
        <v/>
      </c>
      <c r="Q255" s="8">
        <f>RANK(P255,$P$3:$P$308,1)</f>
        <v/>
      </c>
      <c r="R255" s="8">
        <f>IF(O255&gt;0,"Over-predicted","Under-predicted")</f>
        <v/>
      </c>
    </row>
    <row r="256">
      <c r="A256" s="2" t="inlineStr">
        <is>
          <t>STR-1067</t>
        </is>
      </c>
      <c r="B256" s="2" t="inlineStr">
        <is>
          <t>High Street</t>
        </is>
      </c>
      <c r="C256" s="2" t="inlineStr">
        <is>
          <t>East</t>
        </is>
      </c>
      <c r="D256" s="44" t="n">
        <v>767792.9399999999</v>
      </c>
      <c r="E256" s="5" t="n">
        <v>8129</v>
      </c>
      <c r="F256" s="5" t="n">
        <v>73454.53999999999</v>
      </c>
      <c r="G256" s="5" t="n">
        <v>85.2</v>
      </c>
      <c r="H256" s="5" t="n">
        <v>3.7</v>
      </c>
      <c r="I256" s="5" t="n">
        <v>0.211</v>
      </c>
      <c r="J256" s="5" t="n">
        <v>0</v>
      </c>
      <c r="K256" s="5">
        <f>IF(B256="High Street",1,0)</f>
        <v/>
      </c>
      <c r="L256" s="5">
        <f>IF(B256="Airport",1,0)</f>
        <v/>
      </c>
      <c r="M256" s="5">
        <f>IF(B256="Mall",1,0)</f>
        <v/>
      </c>
      <c r="N256" s="44">
        <f>$U$3+$U$4*E256+$U$5*F256+$U$6*G256+$U$7*H256+$U$8*I256+$U$9*J256+$U$10*K256+$U$11*L256+$U$12*M256</f>
        <v/>
      </c>
      <c r="O256" s="44">
        <f>D256-N256</f>
        <v/>
      </c>
      <c r="P256" s="44">
        <f>ABS(O256)</f>
        <v/>
      </c>
      <c r="Q256" s="5">
        <f>RANK(P256,$P$3:$P$308,1)</f>
        <v/>
      </c>
      <c r="R256" s="5">
        <f>IF(O256&gt;0,"Over-predicted","Under-predicted")</f>
        <v/>
      </c>
    </row>
    <row r="257">
      <c r="A257" s="6" t="inlineStr">
        <is>
          <t>STR-1067</t>
        </is>
      </c>
      <c r="B257" s="6" t="inlineStr">
        <is>
          <t>High Street</t>
        </is>
      </c>
      <c r="C257" s="6" t="inlineStr">
        <is>
          <t>East</t>
        </is>
      </c>
      <c r="D257" s="45" t="n">
        <v>745580.51</v>
      </c>
      <c r="E257" s="8" t="n">
        <v>7969</v>
      </c>
      <c r="F257" s="8" t="n">
        <v>56602.39</v>
      </c>
      <c r="G257" s="8" t="n">
        <v>88.3</v>
      </c>
      <c r="H257" s="8" t="n">
        <v>3.7</v>
      </c>
      <c r="I257" s="8" t="n">
        <v>0.17</v>
      </c>
      <c r="J257" s="8" t="n">
        <v>0</v>
      </c>
      <c r="K257" s="8">
        <f>IF(B257="High Street",1,0)</f>
        <v/>
      </c>
      <c r="L257" s="8">
        <f>IF(B257="Airport",1,0)</f>
        <v/>
      </c>
      <c r="M257" s="8">
        <f>IF(B257="Mall",1,0)</f>
        <v/>
      </c>
      <c r="N257" s="45">
        <f>$U$3+$U$4*E257+$U$5*F257+$U$6*G257+$U$7*H257+$U$8*I257+$U$9*J257+$U$10*K257+$U$11*L257+$U$12*M257</f>
        <v/>
      </c>
      <c r="O257" s="45">
        <f>D257-N257</f>
        <v/>
      </c>
      <c r="P257" s="45">
        <f>ABS(O257)</f>
        <v/>
      </c>
      <c r="Q257" s="8">
        <f>RANK(P257,$P$3:$P$308,1)</f>
        <v/>
      </c>
      <c r="R257" s="8">
        <f>IF(O257&gt;0,"Over-predicted","Under-predicted")</f>
        <v/>
      </c>
    </row>
    <row r="258">
      <c r="A258" s="2" t="inlineStr">
        <is>
          <t>STR-1067</t>
        </is>
      </c>
      <c r="B258" s="2" t="inlineStr">
        <is>
          <t>High Street</t>
        </is>
      </c>
      <c r="C258" s="2" t="inlineStr">
        <is>
          <t>East</t>
        </is>
      </c>
      <c r="D258" s="44" t="n">
        <v>762328.3100000001</v>
      </c>
      <c r="E258" s="5" t="n">
        <v>7240</v>
      </c>
      <c r="F258" s="5" t="n">
        <v>67722.28999999999</v>
      </c>
      <c r="G258" s="5" t="n">
        <v>92.90000000000001</v>
      </c>
      <c r="H258" s="5" t="n">
        <v>3.5</v>
      </c>
      <c r="I258" s="5" t="n">
        <v>0.026</v>
      </c>
      <c r="J258" s="5" t="n">
        <v>0</v>
      </c>
      <c r="K258" s="5">
        <f>IF(B258="High Street",1,0)</f>
        <v/>
      </c>
      <c r="L258" s="5">
        <f>IF(B258="Airport",1,0)</f>
        <v/>
      </c>
      <c r="M258" s="5">
        <f>IF(B258="Mall",1,0)</f>
        <v/>
      </c>
      <c r="N258" s="44">
        <f>$U$3+$U$4*E258+$U$5*F258+$U$6*G258+$U$7*H258+$U$8*I258+$U$9*J258+$U$10*K258+$U$11*L258+$U$12*M258</f>
        <v/>
      </c>
      <c r="O258" s="44">
        <f>D258-N258</f>
        <v/>
      </c>
      <c r="P258" s="44">
        <f>ABS(O258)</f>
        <v/>
      </c>
      <c r="Q258" s="5">
        <f>RANK(P258,$P$3:$P$308,1)</f>
        <v/>
      </c>
      <c r="R258" s="5">
        <f>IF(O258&gt;0,"Over-predicted","Under-predicted")</f>
        <v/>
      </c>
    </row>
    <row r="259">
      <c r="A259" s="6" t="inlineStr">
        <is>
          <t>STR-1068</t>
        </is>
      </c>
      <c r="B259" s="6" t="inlineStr">
        <is>
          <t>Mall</t>
        </is>
      </c>
      <c r="C259" s="6" t="inlineStr">
        <is>
          <t>East</t>
        </is>
      </c>
      <c r="D259" s="45" t="n">
        <v>660633.99</v>
      </c>
      <c r="E259" s="8" t="n">
        <v>8052</v>
      </c>
      <c r="F259" s="8" t="n">
        <v>48752.92</v>
      </c>
      <c r="G259" s="8" t="n">
        <v>94.90000000000001</v>
      </c>
      <c r="H259" s="8" t="n">
        <v>3.6</v>
      </c>
      <c r="I259" s="8" t="n">
        <v>0.106</v>
      </c>
      <c r="J259" s="8" t="n">
        <v>0</v>
      </c>
      <c r="K259" s="8">
        <f>IF(B259="High Street",1,0)</f>
        <v/>
      </c>
      <c r="L259" s="8">
        <f>IF(B259="Airport",1,0)</f>
        <v/>
      </c>
      <c r="M259" s="8">
        <f>IF(B259="Mall",1,0)</f>
        <v/>
      </c>
      <c r="N259" s="45">
        <f>$U$3+$U$4*E259+$U$5*F259+$U$6*G259+$U$7*H259+$U$8*I259+$U$9*J259+$U$10*K259+$U$11*L259+$U$12*M259</f>
        <v/>
      </c>
      <c r="O259" s="45">
        <f>D259-N259</f>
        <v/>
      </c>
      <c r="P259" s="45">
        <f>ABS(O259)</f>
        <v/>
      </c>
      <c r="Q259" s="8">
        <f>RANK(P259,$P$3:$P$308,1)</f>
        <v/>
      </c>
      <c r="R259" s="8">
        <f>IF(O259&gt;0,"Over-predicted","Under-predicted")</f>
        <v/>
      </c>
    </row>
    <row r="260">
      <c r="A260" s="2" t="inlineStr">
        <is>
          <t>STR-1068</t>
        </is>
      </c>
      <c r="B260" s="2" t="inlineStr">
        <is>
          <t>Mall</t>
        </is>
      </c>
      <c r="C260" s="2" t="inlineStr">
        <is>
          <t>East</t>
        </is>
      </c>
      <c r="D260" s="44" t="n">
        <v>739374.5600000001</v>
      </c>
      <c r="E260" s="5" t="n">
        <v>8018</v>
      </c>
      <c r="F260" s="5" t="n">
        <v>23914.97</v>
      </c>
      <c r="G260" s="5" t="n">
        <v>89</v>
      </c>
      <c r="H260" s="5" t="n">
        <v>3.5</v>
      </c>
      <c r="I260" s="5" t="n">
        <v>0.139</v>
      </c>
      <c r="J260" s="5" t="n">
        <v>0</v>
      </c>
      <c r="K260" s="5">
        <f>IF(B260="High Street",1,0)</f>
        <v/>
      </c>
      <c r="L260" s="5">
        <f>IF(B260="Airport",1,0)</f>
        <v/>
      </c>
      <c r="M260" s="5">
        <f>IF(B260="Mall",1,0)</f>
        <v/>
      </c>
      <c r="N260" s="44">
        <f>$U$3+$U$4*E260+$U$5*F260+$U$6*G260+$U$7*H260+$U$8*I260+$U$9*J260+$U$10*K260+$U$11*L260+$U$12*M260</f>
        <v/>
      </c>
      <c r="O260" s="44">
        <f>D260-N260</f>
        <v/>
      </c>
      <c r="P260" s="44">
        <f>ABS(O260)</f>
        <v/>
      </c>
      <c r="Q260" s="5">
        <f>RANK(P260,$P$3:$P$308,1)</f>
        <v/>
      </c>
      <c r="R260" s="5">
        <f>IF(O260&gt;0,"Over-predicted","Under-predicted")</f>
        <v/>
      </c>
    </row>
    <row r="261">
      <c r="A261" s="6" t="inlineStr">
        <is>
          <t>STR-1068</t>
        </is>
      </c>
      <c r="B261" s="6" t="inlineStr">
        <is>
          <t>Mall</t>
        </is>
      </c>
      <c r="C261" s="6" t="inlineStr">
        <is>
          <t>East</t>
        </is>
      </c>
      <c r="D261" s="45" t="n">
        <v>799756.46</v>
      </c>
      <c r="E261" s="8" t="n">
        <v>10192</v>
      </c>
      <c r="F261" s="8" t="n">
        <v>61995.3</v>
      </c>
      <c r="G261" s="8" t="n">
        <v>87.59999999999999</v>
      </c>
      <c r="H261" s="8" t="n">
        <v>3.8</v>
      </c>
      <c r="I261" s="8" t="n">
        <v>0.198</v>
      </c>
      <c r="J261" s="8" t="n">
        <v>1</v>
      </c>
      <c r="K261" s="8">
        <f>IF(B261="High Street",1,0)</f>
        <v/>
      </c>
      <c r="L261" s="8">
        <f>IF(B261="Airport",1,0)</f>
        <v/>
      </c>
      <c r="M261" s="8">
        <f>IF(B261="Mall",1,0)</f>
        <v/>
      </c>
      <c r="N261" s="45">
        <f>$U$3+$U$4*E261+$U$5*F261+$U$6*G261+$U$7*H261+$U$8*I261+$U$9*J261+$U$10*K261+$U$11*L261+$U$12*M261</f>
        <v/>
      </c>
      <c r="O261" s="45">
        <f>D261-N261</f>
        <v/>
      </c>
      <c r="P261" s="45">
        <f>ABS(O261)</f>
        <v/>
      </c>
      <c r="Q261" s="8">
        <f>RANK(P261,$P$3:$P$308,1)</f>
        <v/>
      </c>
      <c r="R261" s="8">
        <f>IF(O261&gt;0,"Over-predicted","Under-predicted")</f>
        <v/>
      </c>
    </row>
    <row r="262">
      <c r="A262" s="2" t="inlineStr">
        <is>
          <t>STR-1068</t>
        </is>
      </c>
      <c r="B262" s="2" t="inlineStr">
        <is>
          <t>Mall</t>
        </is>
      </c>
      <c r="C262" s="2" t="inlineStr">
        <is>
          <t>East</t>
        </is>
      </c>
      <c r="D262" s="44" t="n">
        <v>593343</v>
      </c>
      <c r="E262" s="5" t="n">
        <v>7446</v>
      </c>
      <c r="F262" s="5" t="n">
        <v>29344.93</v>
      </c>
      <c r="G262" s="5" t="n">
        <v>86.2</v>
      </c>
      <c r="H262" s="5" t="n">
        <v>3.2</v>
      </c>
      <c r="I262" s="5" t="n">
        <v>0.111</v>
      </c>
      <c r="J262" s="5" t="n">
        <v>0</v>
      </c>
      <c r="K262" s="5">
        <f>IF(B262="High Street",1,0)</f>
        <v/>
      </c>
      <c r="L262" s="5">
        <f>IF(B262="Airport",1,0)</f>
        <v/>
      </c>
      <c r="M262" s="5">
        <f>IF(B262="Mall",1,0)</f>
        <v/>
      </c>
      <c r="N262" s="44">
        <f>$U$3+$U$4*E262+$U$5*F262+$U$6*G262+$U$7*H262+$U$8*I262+$U$9*J262+$U$10*K262+$U$11*L262+$U$12*M262</f>
        <v/>
      </c>
      <c r="O262" s="44">
        <f>D262-N262</f>
        <v/>
      </c>
      <c r="P262" s="44">
        <f>ABS(O262)</f>
        <v/>
      </c>
      <c r="Q262" s="5">
        <f>RANK(P262,$P$3:$P$308,1)</f>
        <v/>
      </c>
      <c r="R262" s="5">
        <f>IF(O262&gt;0,"Over-predicted","Under-predicted")</f>
        <v/>
      </c>
    </row>
    <row r="263">
      <c r="A263" s="6" t="inlineStr">
        <is>
          <t>STR-1069</t>
        </is>
      </c>
      <c r="B263" s="6" t="inlineStr">
        <is>
          <t>High Street</t>
        </is>
      </c>
      <c r="C263" s="6" t="inlineStr">
        <is>
          <t>West</t>
        </is>
      </c>
      <c r="D263" s="45" t="n">
        <v>645039.97</v>
      </c>
      <c r="E263" s="8" t="n">
        <v>5689</v>
      </c>
      <c r="F263" s="8" t="n">
        <v>50532.17</v>
      </c>
      <c r="G263" s="8" t="n">
        <v>85.59999999999999</v>
      </c>
      <c r="H263" s="8" t="n">
        <v>3.3</v>
      </c>
      <c r="I263" s="8" t="n">
        <v>0.052</v>
      </c>
      <c r="J263" s="8" t="n">
        <v>0</v>
      </c>
      <c r="K263" s="8">
        <f>IF(B263="High Street",1,0)</f>
        <v/>
      </c>
      <c r="L263" s="8">
        <f>IF(B263="Airport",1,0)</f>
        <v/>
      </c>
      <c r="M263" s="8">
        <f>IF(B263="Mall",1,0)</f>
        <v/>
      </c>
      <c r="N263" s="45">
        <f>$U$3+$U$4*E263+$U$5*F263+$U$6*G263+$U$7*H263+$U$8*I263+$U$9*J263+$U$10*K263+$U$11*L263+$U$12*M263</f>
        <v/>
      </c>
      <c r="O263" s="45">
        <f>D263-N263</f>
        <v/>
      </c>
      <c r="P263" s="45">
        <f>ABS(O263)</f>
        <v/>
      </c>
      <c r="Q263" s="8">
        <f>RANK(P263,$P$3:$P$308,1)</f>
        <v/>
      </c>
      <c r="R263" s="8">
        <f>IF(O263&gt;0,"Over-predicted","Under-predicted")</f>
        <v/>
      </c>
    </row>
    <row r="264">
      <c r="A264" s="2" t="inlineStr">
        <is>
          <t>STR-1069</t>
        </is>
      </c>
      <c r="B264" s="2" t="inlineStr">
        <is>
          <t>High Street</t>
        </is>
      </c>
      <c r="C264" s="2" t="inlineStr">
        <is>
          <t>West</t>
        </is>
      </c>
      <c r="D264" s="44" t="n">
        <v>561597.33</v>
      </c>
      <c r="E264" s="5" t="n">
        <v>3326</v>
      </c>
      <c r="F264" s="5" t="n">
        <v>17562.57</v>
      </c>
      <c r="G264" s="5" t="n">
        <v>88.09999999999999</v>
      </c>
      <c r="H264" s="5" t="n">
        <v>3.1</v>
      </c>
      <c r="I264" s="5" t="n">
        <v>0.153</v>
      </c>
      <c r="J264" s="5" t="n">
        <v>0</v>
      </c>
      <c r="K264" s="5">
        <f>IF(B264="High Street",1,0)</f>
        <v/>
      </c>
      <c r="L264" s="5">
        <f>IF(B264="Airport",1,0)</f>
        <v/>
      </c>
      <c r="M264" s="5">
        <f>IF(B264="Mall",1,0)</f>
        <v/>
      </c>
      <c r="N264" s="44">
        <f>$U$3+$U$4*E264+$U$5*F264+$U$6*G264+$U$7*H264+$U$8*I264+$U$9*J264+$U$10*K264+$U$11*L264+$U$12*M264</f>
        <v/>
      </c>
      <c r="O264" s="44">
        <f>D264-N264</f>
        <v/>
      </c>
      <c r="P264" s="44">
        <f>ABS(O264)</f>
        <v/>
      </c>
      <c r="Q264" s="5">
        <f>RANK(P264,$P$3:$P$308,1)</f>
        <v/>
      </c>
      <c r="R264" s="5">
        <f>IF(O264&gt;0,"Over-predicted","Under-predicted")</f>
        <v/>
      </c>
    </row>
    <row r="265">
      <c r="A265" s="6" t="inlineStr">
        <is>
          <t>STR-1069</t>
        </is>
      </c>
      <c r="B265" s="6" t="inlineStr">
        <is>
          <t>High Street</t>
        </is>
      </c>
      <c r="C265" s="6" t="inlineStr">
        <is>
          <t>West</t>
        </is>
      </c>
      <c r="D265" s="45" t="n">
        <v>635837.74</v>
      </c>
      <c r="E265" s="8" t="n">
        <v>5767</v>
      </c>
      <c r="F265" s="8" t="n">
        <v>47648.71</v>
      </c>
      <c r="G265" s="8" t="n">
        <v>89.8</v>
      </c>
      <c r="H265" s="8" t="n">
        <v>3.1</v>
      </c>
      <c r="I265" s="8" t="n">
        <v>0.141</v>
      </c>
      <c r="J265" s="8" t="n">
        <v>0</v>
      </c>
      <c r="K265" s="8">
        <f>IF(B265="High Street",1,0)</f>
        <v/>
      </c>
      <c r="L265" s="8">
        <f>IF(B265="Airport",1,0)</f>
        <v/>
      </c>
      <c r="M265" s="8">
        <f>IF(B265="Mall",1,0)</f>
        <v/>
      </c>
      <c r="N265" s="45">
        <f>$U$3+$U$4*E265+$U$5*F265+$U$6*G265+$U$7*H265+$U$8*I265+$U$9*J265+$U$10*K265+$U$11*L265+$U$12*M265</f>
        <v/>
      </c>
      <c r="O265" s="45">
        <f>D265-N265</f>
        <v/>
      </c>
      <c r="P265" s="45">
        <f>ABS(O265)</f>
        <v/>
      </c>
      <c r="Q265" s="8">
        <f>RANK(P265,$P$3:$P$308,1)</f>
        <v/>
      </c>
      <c r="R265" s="8">
        <f>IF(O265&gt;0,"Over-predicted","Under-predicted")</f>
        <v/>
      </c>
    </row>
    <row r="266">
      <c r="A266" s="2" t="inlineStr">
        <is>
          <t>STR-1069</t>
        </is>
      </c>
      <c r="B266" s="2" t="inlineStr">
        <is>
          <t>High Street</t>
        </is>
      </c>
      <c r="C266" s="2" t="inlineStr">
        <is>
          <t>West</t>
        </is>
      </c>
      <c r="D266" s="44" t="n">
        <v>686737.87</v>
      </c>
      <c r="E266" s="5" t="n">
        <v>5893</v>
      </c>
      <c r="F266" s="5" t="n">
        <v>38297.58</v>
      </c>
      <c r="G266" s="5" t="n">
        <v>77.59999999999999</v>
      </c>
      <c r="H266" s="5" t="n">
        <v>3</v>
      </c>
      <c r="I266" s="5" t="n">
        <v>0.247</v>
      </c>
      <c r="J266" s="5" t="n">
        <v>0</v>
      </c>
      <c r="K266" s="5">
        <f>IF(B266="High Street",1,0)</f>
        <v/>
      </c>
      <c r="L266" s="5">
        <f>IF(B266="Airport",1,0)</f>
        <v/>
      </c>
      <c r="M266" s="5">
        <f>IF(B266="Mall",1,0)</f>
        <v/>
      </c>
      <c r="N266" s="44">
        <f>$U$3+$U$4*E266+$U$5*F266+$U$6*G266+$U$7*H266+$U$8*I266+$U$9*J266+$U$10*K266+$U$11*L266+$U$12*M266</f>
        <v/>
      </c>
      <c r="O266" s="44">
        <f>D266-N266</f>
        <v/>
      </c>
      <c r="P266" s="44">
        <f>ABS(O266)</f>
        <v/>
      </c>
      <c r="Q266" s="5">
        <f>RANK(P266,$P$3:$P$308,1)</f>
        <v/>
      </c>
      <c r="R266" s="5">
        <f>IF(O266&gt;0,"Over-predicted","Under-predicted")</f>
        <v/>
      </c>
    </row>
    <row r="267">
      <c r="A267" s="6" t="inlineStr">
        <is>
          <t>STR-1070</t>
        </is>
      </c>
      <c r="B267" s="6" t="inlineStr">
        <is>
          <t>Residential</t>
        </is>
      </c>
      <c r="C267" s="6" t="inlineStr">
        <is>
          <t>South</t>
        </is>
      </c>
      <c r="D267" s="45" t="n">
        <v>673076.34</v>
      </c>
      <c r="E267" s="8" t="n">
        <v>8564</v>
      </c>
      <c r="F267" s="8" t="n">
        <v>61784.11</v>
      </c>
      <c r="G267" s="8" t="n">
        <v>87.40000000000001</v>
      </c>
      <c r="H267" s="8" t="n">
        <v>3.4</v>
      </c>
      <c r="I267" s="8" t="n">
        <v>0.13</v>
      </c>
      <c r="J267" s="8" t="n">
        <v>1</v>
      </c>
      <c r="K267" s="8">
        <f>IF(B267="High Street",1,0)</f>
        <v/>
      </c>
      <c r="L267" s="8">
        <f>IF(B267="Airport",1,0)</f>
        <v/>
      </c>
      <c r="M267" s="8">
        <f>IF(B267="Mall",1,0)</f>
        <v/>
      </c>
      <c r="N267" s="45">
        <f>$U$3+$U$4*E267+$U$5*F267+$U$6*G267+$U$7*H267+$U$8*I267+$U$9*J267+$U$10*K267+$U$11*L267+$U$12*M267</f>
        <v/>
      </c>
      <c r="O267" s="45">
        <f>D267-N267</f>
        <v/>
      </c>
      <c r="P267" s="45">
        <f>ABS(O267)</f>
        <v/>
      </c>
      <c r="Q267" s="8">
        <f>RANK(P267,$P$3:$P$308,1)</f>
        <v/>
      </c>
      <c r="R267" s="8">
        <f>IF(O267&gt;0,"Over-predicted","Under-predicted")</f>
        <v/>
      </c>
    </row>
    <row r="268">
      <c r="A268" s="2" t="inlineStr">
        <is>
          <t>STR-1070</t>
        </is>
      </c>
      <c r="B268" s="2" t="inlineStr">
        <is>
          <t>Residential</t>
        </is>
      </c>
      <c r="C268" s="2" t="inlineStr">
        <is>
          <t>South</t>
        </is>
      </c>
      <c r="D268" s="44" t="n">
        <v>738548.42</v>
      </c>
      <c r="E268" s="5" t="n">
        <v>8001</v>
      </c>
      <c r="F268" s="5" t="n">
        <v>36832.33</v>
      </c>
      <c r="G268" s="5" t="n">
        <v>88.7</v>
      </c>
      <c r="H268" s="5" t="n">
        <v>4</v>
      </c>
      <c r="I268" s="5" t="n">
        <v>0</v>
      </c>
      <c r="J268" s="5" t="n">
        <v>0</v>
      </c>
      <c r="K268" s="5">
        <f>IF(B268="High Street",1,0)</f>
        <v/>
      </c>
      <c r="L268" s="5">
        <f>IF(B268="Airport",1,0)</f>
        <v/>
      </c>
      <c r="M268" s="5">
        <f>IF(B268="Mall",1,0)</f>
        <v/>
      </c>
      <c r="N268" s="44">
        <f>$U$3+$U$4*E268+$U$5*F268+$U$6*G268+$U$7*H268+$U$8*I268+$U$9*J268+$U$10*K268+$U$11*L268+$U$12*M268</f>
        <v/>
      </c>
      <c r="O268" s="44">
        <f>D268-N268</f>
        <v/>
      </c>
      <c r="P268" s="44">
        <f>ABS(O268)</f>
        <v/>
      </c>
      <c r="Q268" s="5">
        <f>RANK(P268,$P$3:$P$308,1)</f>
        <v/>
      </c>
      <c r="R268" s="5">
        <f>IF(O268&gt;0,"Over-predicted","Under-predicted")</f>
        <v/>
      </c>
    </row>
    <row r="269">
      <c r="A269" s="6" t="inlineStr">
        <is>
          <t>STR-1070</t>
        </is>
      </c>
      <c r="B269" s="6" t="inlineStr">
        <is>
          <t>Residential</t>
        </is>
      </c>
      <c r="C269" s="6" t="inlineStr">
        <is>
          <t>South</t>
        </is>
      </c>
      <c r="D269" s="45" t="n">
        <v>756619.77</v>
      </c>
      <c r="E269" s="8" t="n">
        <v>9324</v>
      </c>
      <c r="F269" s="8" t="n">
        <v>48609.41</v>
      </c>
      <c r="G269" s="8" t="n">
        <v>86.5</v>
      </c>
      <c r="H269" s="8" t="n">
        <v>3.9</v>
      </c>
      <c r="I269" s="8" t="n">
        <v>0.213</v>
      </c>
      <c r="J269" s="8" t="n">
        <v>0</v>
      </c>
      <c r="K269" s="8">
        <f>IF(B269="High Street",1,0)</f>
        <v/>
      </c>
      <c r="L269" s="8">
        <f>IF(B269="Airport",1,0)</f>
        <v/>
      </c>
      <c r="M269" s="8">
        <f>IF(B269="Mall",1,0)</f>
        <v/>
      </c>
      <c r="N269" s="45">
        <f>$U$3+$U$4*E269+$U$5*F269+$U$6*G269+$U$7*H269+$U$8*I269+$U$9*J269+$U$10*K269+$U$11*L269+$U$12*M269</f>
        <v/>
      </c>
      <c r="O269" s="45">
        <f>D269-N269</f>
        <v/>
      </c>
      <c r="P269" s="45">
        <f>ABS(O269)</f>
        <v/>
      </c>
      <c r="Q269" s="8">
        <f>RANK(P269,$P$3:$P$308,1)</f>
        <v/>
      </c>
      <c r="R269" s="8">
        <f>IF(O269&gt;0,"Over-predicted","Under-predicted")</f>
        <v/>
      </c>
    </row>
    <row r="270">
      <c r="A270" s="2" t="inlineStr">
        <is>
          <t>STR-1070</t>
        </is>
      </c>
      <c r="B270" s="2" t="inlineStr">
        <is>
          <t>Residential</t>
        </is>
      </c>
      <c r="C270" s="2" t="inlineStr">
        <is>
          <t>South</t>
        </is>
      </c>
      <c r="D270" s="44" t="n">
        <v>761122.42</v>
      </c>
      <c r="E270" s="5" t="n">
        <v>9109</v>
      </c>
      <c r="F270" s="5" t="n">
        <v>70284.06</v>
      </c>
      <c r="G270" s="5" t="n">
        <v>87</v>
      </c>
      <c r="H270" s="5" t="n">
        <v>3.7</v>
      </c>
      <c r="I270" s="5" t="n">
        <v>0.004</v>
      </c>
      <c r="J270" s="5" t="n">
        <v>0</v>
      </c>
      <c r="K270" s="5">
        <f>IF(B270="High Street",1,0)</f>
        <v/>
      </c>
      <c r="L270" s="5">
        <f>IF(B270="Airport",1,0)</f>
        <v/>
      </c>
      <c r="M270" s="5">
        <f>IF(B270="Mall",1,0)</f>
        <v/>
      </c>
      <c r="N270" s="44">
        <f>$U$3+$U$4*E270+$U$5*F270+$U$6*G270+$U$7*H270+$U$8*I270+$U$9*J270+$U$10*K270+$U$11*L270+$U$12*M270</f>
        <v/>
      </c>
      <c r="O270" s="44">
        <f>D270-N270</f>
        <v/>
      </c>
      <c r="P270" s="44">
        <f>ABS(O270)</f>
        <v/>
      </c>
      <c r="Q270" s="5">
        <f>RANK(P270,$P$3:$P$308,1)</f>
        <v/>
      </c>
      <c r="R270" s="5">
        <f>IF(O270&gt;0,"Over-predicted","Under-predicted")</f>
        <v/>
      </c>
    </row>
    <row r="271">
      <c r="A271" s="6" t="inlineStr">
        <is>
          <t>STR-1071</t>
        </is>
      </c>
      <c r="B271" s="6" t="inlineStr">
        <is>
          <t>High Street</t>
        </is>
      </c>
      <c r="C271" s="6" t="inlineStr">
        <is>
          <t>South</t>
        </is>
      </c>
      <c r="D271" s="45" t="n">
        <v>524899.5699999999</v>
      </c>
      <c r="E271" s="8" t="n">
        <v>4022</v>
      </c>
      <c r="F271" s="8" t="n">
        <v>45940.39</v>
      </c>
      <c r="G271" s="8" t="n">
        <v>83</v>
      </c>
      <c r="H271" s="8" t="n">
        <v>3.8</v>
      </c>
      <c r="I271" s="8" t="n">
        <v>0.06900000000000001</v>
      </c>
      <c r="J271" s="8" t="n">
        <v>1</v>
      </c>
      <c r="K271" s="8">
        <f>IF(B271="High Street",1,0)</f>
        <v/>
      </c>
      <c r="L271" s="8">
        <f>IF(B271="Airport",1,0)</f>
        <v/>
      </c>
      <c r="M271" s="8">
        <f>IF(B271="Mall",1,0)</f>
        <v/>
      </c>
      <c r="N271" s="45">
        <f>$U$3+$U$4*E271+$U$5*F271+$U$6*G271+$U$7*H271+$U$8*I271+$U$9*J271+$U$10*K271+$U$11*L271+$U$12*M271</f>
        <v/>
      </c>
      <c r="O271" s="45">
        <f>D271-N271</f>
        <v/>
      </c>
      <c r="P271" s="45">
        <f>ABS(O271)</f>
        <v/>
      </c>
      <c r="Q271" s="8">
        <f>RANK(P271,$P$3:$P$308,1)</f>
        <v/>
      </c>
      <c r="R271" s="8">
        <f>IF(O271&gt;0,"Over-predicted","Under-predicted")</f>
        <v/>
      </c>
    </row>
    <row r="272">
      <c r="A272" s="2" t="inlineStr">
        <is>
          <t>STR-1071</t>
        </is>
      </c>
      <c r="B272" s="2" t="inlineStr">
        <is>
          <t>High Street</t>
        </is>
      </c>
      <c r="C272" s="2" t="inlineStr">
        <is>
          <t>South</t>
        </is>
      </c>
      <c r="D272" s="44" t="n">
        <v>555557.77</v>
      </c>
      <c r="E272" s="5" t="n">
        <v>4355</v>
      </c>
      <c r="F272" s="5" t="n">
        <v>34771.26</v>
      </c>
      <c r="G272" s="5" t="n">
        <v>87.90000000000001</v>
      </c>
      <c r="H272" s="5" t="n">
        <v>4</v>
      </c>
      <c r="I272" s="5" t="n">
        <v>0.051</v>
      </c>
      <c r="J272" s="5" t="n">
        <v>0</v>
      </c>
      <c r="K272" s="5">
        <f>IF(B272="High Street",1,0)</f>
        <v/>
      </c>
      <c r="L272" s="5">
        <f>IF(B272="Airport",1,0)</f>
        <v/>
      </c>
      <c r="M272" s="5">
        <f>IF(B272="Mall",1,0)</f>
        <v/>
      </c>
      <c r="N272" s="44">
        <f>$U$3+$U$4*E272+$U$5*F272+$U$6*G272+$U$7*H272+$U$8*I272+$U$9*J272+$U$10*K272+$U$11*L272+$U$12*M272</f>
        <v/>
      </c>
      <c r="O272" s="44">
        <f>D272-N272</f>
        <v/>
      </c>
      <c r="P272" s="44">
        <f>ABS(O272)</f>
        <v/>
      </c>
      <c r="Q272" s="5">
        <f>RANK(P272,$P$3:$P$308,1)</f>
        <v/>
      </c>
      <c r="R272" s="5">
        <f>IF(O272&gt;0,"Over-predicted","Under-predicted")</f>
        <v/>
      </c>
    </row>
    <row r="273">
      <c r="A273" s="6" t="inlineStr">
        <is>
          <t>STR-1071</t>
        </is>
      </c>
      <c r="B273" s="6" t="inlineStr">
        <is>
          <t>High Street</t>
        </is>
      </c>
      <c r="C273" s="6" t="inlineStr">
        <is>
          <t>South</t>
        </is>
      </c>
      <c r="D273" s="45" t="n">
        <v>714083.6800000001</v>
      </c>
      <c r="E273" s="8" t="n">
        <v>5745</v>
      </c>
      <c r="F273" s="8" t="n">
        <v>66104.19</v>
      </c>
      <c r="G273" s="8" t="n">
        <v>95.8</v>
      </c>
      <c r="H273" s="8" t="n">
        <v>4</v>
      </c>
      <c r="I273" s="8" t="n">
        <v>0.07000000000000001</v>
      </c>
      <c r="J273" s="8" t="n">
        <v>0</v>
      </c>
      <c r="K273" s="8">
        <f>IF(B273="High Street",1,0)</f>
        <v/>
      </c>
      <c r="L273" s="8">
        <f>IF(B273="Airport",1,0)</f>
        <v/>
      </c>
      <c r="M273" s="8">
        <f>IF(B273="Mall",1,0)</f>
        <v/>
      </c>
      <c r="N273" s="45">
        <f>$U$3+$U$4*E273+$U$5*F273+$U$6*G273+$U$7*H273+$U$8*I273+$U$9*J273+$U$10*K273+$U$11*L273+$U$12*M273</f>
        <v/>
      </c>
      <c r="O273" s="45">
        <f>D273-N273</f>
        <v/>
      </c>
      <c r="P273" s="45">
        <f>ABS(O273)</f>
        <v/>
      </c>
      <c r="Q273" s="8">
        <f>RANK(P273,$P$3:$P$308,1)</f>
        <v/>
      </c>
      <c r="R273" s="8">
        <f>IF(O273&gt;0,"Over-predicted","Under-predicted")</f>
        <v/>
      </c>
    </row>
    <row r="274">
      <c r="A274" s="2" t="inlineStr">
        <is>
          <t>STR-1071</t>
        </is>
      </c>
      <c r="B274" s="2" t="inlineStr">
        <is>
          <t>High Street</t>
        </is>
      </c>
      <c r="C274" s="2" t="inlineStr">
        <is>
          <t>South</t>
        </is>
      </c>
      <c r="D274" s="44" t="n">
        <v>497439.82</v>
      </c>
      <c r="E274" s="5" t="n">
        <v>3027</v>
      </c>
      <c r="F274" s="5" t="n">
        <v>18599.21</v>
      </c>
      <c r="G274" s="5" t="n">
        <v>80.90000000000001</v>
      </c>
      <c r="H274" s="5" t="n">
        <v>4.2</v>
      </c>
      <c r="I274" s="5" t="n">
        <v>0.122</v>
      </c>
      <c r="J274" s="5" t="n">
        <v>0</v>
      </c>
      <c r="K274" s="5">
        <f>IF(B274="High Street",1,0)</f>
        <v/>
      </c>
      <c r="L274" s="5">
        <f>IF(B274="Airport",1,0)</f>
        <v/>
      </c>
      <c r="M274" s="5">
        <f>IF(B274="Mall",1,0)</f>
        <v/>
      </c>
      <c r="N274" s="44">
        <f>$U$3+$U$4*E274+$U$5*F274+$U$6*G274+$U$7*H274+$U$8*I274+$U$9*J274+$U$10*K274+$U$11*L274+$U$12*M274</f>
        <v/>
      </c>
      <c r="O274" s="44">
        <f>D274-N274</f>
        <v/>
      </c>
      <c r="P274" s="44">
        <f>ABS(O274)</f>
        <v/>
      </c>
      <c r="Q274" s="5">
        <f>RANK(P274,$P$3:$P$308,1)</f>
        <v/>
      </c>
      <c r="R274" s="5">
        <f>IF(O274&gt;0,"Over-predicted","Under-predicted")</f>
        <v/>
      </c>
    </row>
    <row r="275">
      <c r="A275" s="6" t="inlineStr">
        <is>
          <t>STR-1072</t>
        </is>
      </c>
      <c r="B275" s="6" t="inlineStr">
        <is>
          <t>Residential</t>
        </is>
      </c>
      <c r="C275" s="6" t="inlineStr">
        <is>
          <t>West</t>
        </is>
      </c>
      <c r="D275" s="45" t="n">
        <v>636775.66</v>
      </c>
      <c r="E275" s="8" t="n">
        <v>5562</v>
      </c>
      <c r="F275" s="8" t="n">
        <v>60183.06</v>
      </c>
      <c r="G275" s="8" t="n">
        <v>86.3</v>
      </c>
      <c r="H275" s="8" t="n">
        <v>4.5</v>
      </c>
      <c r="I275" s="8" t="n">
        <v>0.008999999999999999</v>
      </c>
      <c r="J275" s="8" t="n">
        <v>1</v>
      </c>
      <c r="K275" s="8">
        <f>IF(B275="High Street",1,0)</f>
        <v/>
      </c>
      <c r="L275" s="8">
        <f>IF(B275="Airport",1,0)</f>
        <v/>
      </c>
      <c r="M275" s="8">
        <f>IF(B275="Mall",1,0)</f>
        <v/>
      </c>
      <c r="N275" s="45">
        <f>$U$3+$U$4*E275+$U$5*F275+$U$6*G275+$U$7*H275+$U$8*I275+$U$9*J275+$U$10*K275+$U$11*L275+$U$12*M275</f>
        <v/>
      </c>
      <c r="O275" s="45">
        <f>D275-N275</f>
        <v/>
      </c>
      <c r="P275" s="45">
        <f>ABS(O275)</f>
        <v/>
      </c>
      <c r="Q275" s="8">
        <f>RANK(P275,$P$3:$P$308,1)</f>
        <v/>
      </c>
      <c r="R275" s="8">
        <f>IF(O275&gt;0,"Over-predicted","Under-predicted")</f>
        <v/>
      </c>
    </row>
    <row r="276">
      <c r="A276" s="2" t="inlineStr">
        <is>
          <t>STR-1072</t>
        </is>
      </c>
      <c r="B276" s="2" t="inlineStr">
        <is>
          <t>Residential</t>
        </is>
      </c>
      <c r="C276" s="2" t="inlineStr">
        <is>
          <t>West</t>
        </is>
      </c>
      <c r="D276" s="44" t="n">
        <v>633009.53</v>
      </c>
      <c r="E276" s="5" t="n">
        <v>4487</v>
      </c>
      <c r="F276" s="5" t="n">
        <v>74539.14</v>
      </c>
      <c r="G276" s="5" t="n">
        <v>90.40000000000001</v>
      </c>
      <c r="H276" s="5" t="n">
        <v>4.5</v>
      </c>
      <c r="I276" s="5" t="n">
        <v>0.14</v>
      </c>
      <c r="J276" s="5" t="n">
        <v>0</v>
      </c>
      <c r="K276" s="5">
        <f>IF(B276="High Street",1,0)</f>
        <v/>
      </c>
      <c r="L276" s="5">
        <f>IF(B276="Airport",1,0)</f>
        <v/>
      </c>
      <c r="M276" s="5">
        <f>IF(B276="Mall",1,0)</f>
        <v/>
      </c>
      <c r="N276" s="44">
        <f>$U$3+$U$4*E276+$U$5*F276+$U$6*G276+$U$7*H276+$U$8*I276+$U$9*J276+$U$10*K276+$U$11*L276+$U$12*M276</f>
        <v/>
      </c>
      <c r="O276" s="44">
        <f>D276-N276</f>
        <v/>
      </c>
      <c r="P276" s="44">
        <f>ABS(O276)</f>
        <v/>
      </c>
      <c r="Q276" s="5">
        <f>RANK(P276,$P$3:$P$308,1)</f>
        <v/>
      </c>
      <c r="R276" s="5">
        <f>IF(O276&gt;0,"Over-predicted","Under-predicted")</f>
        <v/>
      </c>
    </row>
    <row r="277">
      <c r="A277" s="6" t="inlineStr">
        <is>
          <t>STR-1072</t>
        </is>
      </c>
      <c r="B277" s="6" t="inlineStr">
        <is>
          <t>Residential</t>
        </is>
      </c>
      <c r="C277" s="6" t="inlineStr">
        <is>
          <t>West</t>
        </is>
      </c>
      <c r="D277" s="45" t="n">
        <v>609949</v>
      </c>
      <c r="E277" s="8" t="n">
        <v>4162</v>
      </c>
      <c r="F277" s="8" t="n">
        <v>55371.97</v>
      </c>
      <c r="G277" s="8" t="n">
        <v>92</v>
      </c>
      <c r="H277" s="8" t="n">
        <v>4.2</v>
      </c>
      <c r="I277" s="8" t="n">
        <v>0.183</v>
      </c>
      <c r="J277" s="8" t="n">
        <v>1</v>
      </c>
      <c r="K277" s="8">
        <f>IF(B277="High Street",1,0)</f>
        <v/>
      </c>
      <c r="L277" s="8">
        <f>IF(B277="Airport",1,0)</f>
        <v/>
      </c>
      <c r="M277" s="8">
        <f>IF(B277="Mall",1,0)</f>
        <v/>
      </c>
      <c r="N277" s="45">
        <f>$U$3+$U$4*E277+$U$5*F277+$U$6*G277+$U$7*H277+$U$8*I277+$U$9*J277+$U$10*K277+$U$11*L277+$U$12*M277</f>
        <v/>
      </c>
      <c r="O277" s="45">
        <f>D277-N277</f>
        <v/>
      </c>
      <c r="P277" s="45">
        <f>ABS(O277)</f>
        <v/>
      </c>
      <c r="Q277" s="8">
        <f>RANK(P277,$P$3:$P$308,1)</f>
        <v/>
      </c>
      <c r="R277" s="8">
        <f>IF(O277&gt;0,"Over-predicted","Under-predicted")</f>
        <v/>
      </c>
    </row>
    <row r="278">
      <c r="A278" s="2" t="inlineStr">
        <is>
          <t>STR-1072</t>
        </is>
      </c>
      <c r="B278" s="2" t="inlineStr">
        <is>
          <t>Residential</t>
        </is>
      </c>
      <c r="C278" s="2" t="inlineStr">
        <is>
          <t>West</t>
        </is>
      </c>
      <c r="D278" s="44" t="n">
        <v>548103.7</v>
      </c>
      <c r="E278" s="5" t="n">
        <v>4094</v>
      </c>
      <c r="F278" s="5" t="n">
        <v>40928.69</v>
      </c>
      <c r="G278" s="5" t="n">
        <v>82.40000000000001</v>
      </c>
      <c r="H278" s="5" t="n">
        <v>4.8</v>
      </c>
      <c r="I278" s="5" t="n">
        <v>0.174</v>
      </c>
      <c r="J278" s="5" t="n">
        <v>0</v>
      </c>
      <c r="K278" s="5">
        <f>IF(B278="High Street",1,0)</f>
        <v/>
      </c>
      <c r="L278" s="5">
        <f>IF(B278="Airport",1,0)</f>
        <v/>
      </c>
      <c r="M278" s="5">
        <f>IF(B278="Mall",1,0)</f>
        <v/>
      </c>
      <c r="N278" s="44">
        <f>$U$3+$U$4*E278+$U$5*F278+$U$6*G278+$U$7*H278+$U$8*I278+$U$9*J278+$U$10*K278+$U$11*L278+$U$12*M278</f>
        <v/>
      </c>
      <c r="O278" s="44">
        <f>D278-N278</f>
        <v/>
      </c>
      <c r="P278" s="44">
        <f>ABS(O278)</f>
        <v/>
      </c>
      <c r="Q278" s="5">
        <f>RANK(P278,$P$3:$P$308,1)</f>
        <v/>
      </c>
      <c r="R278" s="5">
        <f>IF(O278&gt;0,"Over-predicted","Under-predicted")</f>
        <v/>
      </c>
    </row>
    <row r="279">
      <c r="A279" s="6" t="inlineStr">
        <is>
          <t>STR-1073</t>
        </is>
      </c>
      <c r="B279" s="6" t="inlineStr">
        <is>
          <t>Residential</t>
        </is>
      </c>
      <c r="C279" s="6" t="inlineStr">
        <is>
          <t>East</t>
        </is>
      </c>
      <c r="D279" s="45" t="n">
        <v>729424.42</v>
      </c>
      <c r="E279" s="8" t="n">
        <v>8484</v>
      </c>
      <c r="F279" s="8" t="n">
        <v>70012.41</v>
      </c>
      <c r="G279" s="8" t="n">
        <v>72.90000000000001</v>
      </c>
      <c r="H279" s="8" t="n">
        <v>3.7</v>
      </c>
      <c r="I279" s="8" t="n">
        <v>0.273</v>
      </c>
      <c r="J279" s="8" t="n">
        <v>0</v>
      </c>
      <c r="K279" s="8">
        <f>IF(B279="High Street",1,0)</f>
        <v/>
      </c>
      <c r="L279" s="8">
        <f>IF(B279="Airport",1,0)</f>
        <v/>
      </c>
      <c r="M279" s="8">
        <f>IF(B279="Mall",1,0)</f>
        <v/>
      </c>
      <c r="N279" s="45">
        <f>$U$3+$U$4*E279+$U$5*F279+$U$6*G279+$U$7*H279+$U$8*I279+$U$9*J279+$U$10*K279+$U$11*L279+$U$12*M279</f>
        <v/>
      </c>
      <c r="O279" s="45">
        <f>D279-N279</f>
        <v/>
      </c>
      <c r="P279" s="45">
        <f>ABS(O279)</f>
        <v/>
      </c>
      <c r="Q279" s="8">
        <f>RANK(P279,$P$3:$P$308,1)</f>
        <v/>
      </c>
      <c r="R279" s="8">
        <f>IF(O279&gt;0,"Over-predicted","Under-predicted")</f>
        <v/>
      </c>
    </row>
    <row r="280">
      <c r="A280" s="2" t="inlineStr">
        <is>
          <t>STR-1073</t>
        </is>
      </c>
      <c r="B280" s="2" t="inlineStr">
        <is>
          <t>Residential</t>
        </is>
      </c>
      <c r="C280" s="2" t="inlineStr">
        <is>
          <t>East</t>
        </is>
      </c>
      <c r="D280" s="44" t="n">
        <v>696261.49</v>
      </c>
      <c r="E280" s="5" t="n">
        <v>7794</v>
      </c>
      <c r="F280" s="5" t="n">
        <v>68909.25999999999</v>
      </c>
      <c r="G280" s="5" t="n">
        <v>89</v>
      </c>
      <c r="H280" s="5" t="n">
        <v>4</v>
      </c>
      <c r="I280" s="5" t="n">
        <v>0.284</v>
      </c>
      <c r="J280" s="5" t="n">
        <v>0</v>
      </c>
      <c r="K280" s="5">
        <f>IF(B280="High Street",1,0)</f>
        <v/>
      </c>
      <c r="L280" s="5">
        <f>IF(B280="Airport",1,0)</f>
        <v/>
      </c>
      <c r="M280" s="5">
        <f>IF(B280="Mall",1,0)</f>
        <v/>
      </c>
      <c r="N280" s="44">
        <f>$U$3+$U$4*E280+$U$5*F280+$U$6*G280+$U$7*H280+$U$8*I280+$U$9*J280+$U$10*K280+$U$11*L280+$U$12*M280</f>
        <v/>
      </c>
      <c r="O280" s="44">
        <f>D280-N280</f>
        <v/>
      </c>
      <c r="P280" s="44">
        <f>ABS(O280)</f>
        <v/>
      </c>
      <c r="Q280" s="5">
        <f>RANK(P280,$P$3:$P$308,1)</f>
        <v/>
      </c>
      <c r="R280" s="5">
        <f>IF(O280&gt;0,"Over-predicted","Under-predicted")</f>
        <v/>
      </c>
    </row>
    <row r="281">
      <c r="A281" s="6" t="inlineStr">
        <is>
          <t>STR-1073</t>
        </is>
      </c>
      <c r="B281" s="6" t="inlineStr">
        <is>
          <t>Residential</t>
        </is>
      </c>
      <c r="C281" s="6" t="inlineStr">
        <is>
          <t>East</t>
        </is>
      </c>
      <c r="D281" s="45" t="n">
        <v>813316.71</v>
      </c>
      <c r="E281" s="8" t="n">
        <v>8300</v>
      </c>
      <c r="F281" s="8" t="n">
        <v>56737.3</v>
      </c>
      <c r="G281" s="8" t="n">
        <v>83.2</v>
      </c>
      <c r="H281" s="8" t="n">
        <v>4.3</v>
      </c>
      <c r="I281" s="8" t="n">
        <v>0.032</v>
      </c>
      <c r="J281" s="8" t="n">
        <v>1</v>
      </c>
      <c r="K281" s="8">
        <f>IF(B281="High Street",1,0)</f>
        <v/>
      </c>
      <c r="L281" s="8">
        <f>IF(B281="Airport",1,0)</f>
        <v/>
      </c>
      <c r="M281" s="8">
        <f>IF(B281="Mall",1,0)</f>
        <v/>
      </c>
      <c r="N281" s="45">
        <f>$U$3+$U$4*E281+$U$5*F281+$U$6*G281+$U$7*H281+$U$8*I281+$U$9*J281+$U$10*K281+$U$11*L281+$U$12*M281</f>
        <v/>
      </c>
      <c r="O281" s="45">
        <f>D281-N281</f>
        <v/>
      </c>
      <c r="P281" s="45">
        <f>ABS(O281)</f>
        <v/>
      </c>
      <c r="Q281" s="8">
        <f>RANK(P281,$P$3:$P$308,1)</f>
        <v/>
      </c>
      <c r="R281" s="8">
        <f>IF(O281&gt;0,"Over-predicted","Under-predicted")</f>
        <v/>
      </c>
    </row>
    <row r="282">
      <c r="A282" s="2" t="inlineStr">
        <is>
          <t>STR-1073</t>
        </is>
      </c>
      <c r="B282" s="2" t="inlineStr">
        <is>
          <t>Residential</t>
        </is>
      </c>
      <c r="C282" s="2" t="inlineStr">
        <is>
          <t>East</t>
        </is>
      </c>
      <c r="D282" s="44" t="n">
        <v>702068.92</v>
      </c>
      <c r="E282" s="5" t="n">
        <v>7083</v>
      </c>
      <c r="F282" s="5" t="n">
        <v>54080.91</v>
      </c>
      <c r="G282" s="5" t="n">
        <v>97</v>
      </c>
      <c r="H282" s="5" t="n">
        <v>4.1</v>
      </c>
      <c r="I282" s="5" t="n">
        <v>0</v>
      </c>
      <c r="J282" s="5" t="n">
        <v>0</v>
      </c>
      <c r="K282" s="5">
        <f>IF(B282="High Street",1,0)</f>
        <v/>
      </c>
      <c r="L282" s="5">
        <f>IF(B282="Airport",1,0)</f>
        <v/>
      </c>
      <c r="M282" s="5">
        <f>IF(B282="Mall",1,0)</f>
        <v/>
      </c>
      <c r="N282" s="44">
        <f>$U$3+$U$4*E282+$U$5*F282+$U$6*G282+$U$7*H282+$U$8*I282+$U$9*J282+$U$10*K282+$U$11*L282+$U$12*M282</f>
        <v/>
      </c>
      <c r="O282" s="44">
        <f>D282-N282</f>
        <v/>
      </c>
      <c r="P282" s="44">
        <f>ABS(O282)</f>
        <v/>
      </c>
      <c r="Q282" s="5">
        <f>RANK(P282,$P$3:$P$308,1)</f>
        <v/>
      </c>
      <c r="R282" s="5">
        <f>IF(O282&gt;0,"Over-predicted","Under-predicted")</f>
        <v/>
      </c>
    </row>
    <row r="283">
      <c r="A283" s="6" t="inlineStr">
        <is>
          <t>STR-1074</t>
        </is>
      </c>
      <c r="B283" s="6" t="inlineStr">
        <is>
          <t>High Street</t>
        </is>
      </c>
      <c r="C283" s="6" t="inlineStr">
        <is>
          <t>West</t>
        </is>
      </c>
      <c r="D283" s="45" t="n">
        <v>546223.7</v>
      </c>
      <c r="E283" s="8" t="n">
        <v>3834</v>
      </c>
      <c r="F283" s="8" t="n">
        <v>51996.32</v>
      </c>
      <c r="G283" s="8" t="n">
        <v>86.7</v>
      </c>
      <c r="H283" s="8" t="n">
        <v>4.5</v>
      </c>
      <c r="I283" s="8" t="n">
        <v>0.096</v>
      </c>
      <c r="J283" s="8" t="n">
        <v>0</v>
      </c>
      <c r="K283" s="8">
        <f>IF(B283="High Street",1,0)</f>
        <v/>
      </c>
      <c r="L283" s="8">
        <f>IF(B283="Airport",1,0)</f>
        <v/>
      </c>
      <c r="M283" s="8">
        <f>IF(B283="Mall",1,0)</f>
        <v/>
      </c>
      <c r="N283" s="45">
        <f>$U$3+$U$4*E283+$U$5*F283+$U$6*G283+$U$7*H283+$U$8*I283+$U$9*J283+$U$10*K283+$U$11*L283+$U$12*M283</f>
        <v/>
      </c>
      <c r="O283" s="45">
        <f>D283-N283</f>
        <v/>
      </c>
      <c r="P283" s="45">
        <f>ABS(O283)</f>
        <v/>
      </c>
      <c r="Q283" s="8">
        <f>RANK(P283,$P$3:$P$308,1)</f>
        <v/>
      </c>
      <c r="R283" s="8">
        <f>IF(O283&gt;0,"Over-predicted","Under-predicted")</f>
        <v/>
      </c>
    </row>
    <row r="284">
      <c r="A284" s="2" t="inlineStr">
        <is>
          <t>STR-1074</t>
        </is>
      </c>
      <c r="B284" s="2" t="inlineStr">
        <is>
          <t>High Street</t>
        </is>
      </c>
      <c r="C284" s="2" t="inlineStr">
        <is>
          <t>West</t>
        </is>
      </c>
      <c r="D284" s="44" t="n">
        <v>533121.26</v>
      </c>
      <c r="E284" s="5" t="n">
        <v>2358</v>
      </c>
      <c r="F284" s="5" t="n">
        <v>40102.88</v>
      </c>
      <c r="G284" s="5" t="n">
        <v>88.7</v>
      </c>
      <c r="H284" s="5" t="n">
        <v>4.2</v>
      </c>
      <c r="I284" s="5" t="n">
        <v>0.119</v>
      </c>
      <c r="J284" s="5" t="n">
        <v>0</v>
      </c>
      <c r="K284" s="5">
        <f>IF(B284="High Street",1,0)</f>
        <v/>
      </c>
      <c r="L284" s="5">
        <f>IF(B284="Airport",1,0)</f>
        <v/>
      </c>
      <c r="M284" s="5">
        <f>IF(B284="Mall",1,0)</f>
        <v/>
      </c>
      <c r="N284" s="44">
        <f>$U$3+$U$4*E284+$U$5*F284+$U$6*G284+$U$7*H284+$U$8*I284+$U$9*J284+$U$10*K284+$U$11*L284+$U$12*M284</f>
        <v/>
      </c>
      <c r="O284" s="44">
        <f>D284-N284</f>
        <v/>
      </c>
      <c r="P284" s="44">
        <f>ABS(O284)</f>
        <v/>
      </c>
      <c r="Q284" s="5">
        <f>RANK(P284,$P$3:$P$308,1)</f>
        <v/>
      </c>
      <c r="R284" s="5">
        <f>IF(O284&gt;0,"Over-predicted","Under-predicted")</f>
        <v/>
      </c>
    </row>
    <row r="285">
      <c r="A285" s="6" t="inlineStr">
        <is>
          <t>STR-1074</t>
        </is>
      </c>
      <c r="B285" s="6" t="inlineStr">
        <is>
          <t>High Street</t>
        </is>
      </c>
      <c r="C285" s="6" t="inlineStr">
        <is>
          <t>West</t>
        </is>
      </c>
      <c r="D285" s="45" t="n">
        <v>498970.32</v>
      </c>
      <c r="E285" s="8" t="n">
        <v>1231</v>
      </c>
      <c r="F285" s="8" t="n">
        <v>59825.51</v>
      </c>
      <c r="G285" s="8" t="n">
        <v>84.8</v>
      </c>
      <c r="H285" s="8" t="n">
        <v>4.7</v>
      </c>
      <c r="I285" s="8" t="n">
        <v>0.214</v>
      </c>
      <c r="J285" s="8" t="n">
        <v>0</v>
      </c>
      <c r="K285" s="8">
        <f>IF(B285="High Street",1,0)</f>
        <v/>
      </c>
      <c r="L285" s="8">
        <f>IF(B285="Airport",1,0)</f>
        <v/>
      </c>
      <c r="M285" s="8">
        <f>IF(B285="Mall",1,0)</f>
        <v/>
      </c>
      <c r="N285" s="45">
        <f>$U$3+$U$4*E285+$U$5*F285+$U$6*G285+$U$7*H285+$U$8*I285+$U$9*J285+$U$10*K285+$U$11*L285+$U$12*M285</f>
        <v/>
      </c>
      <c r="O285" s="45">
        <f>D285-N285</f>
        <v/>
      </c>
      <c r="P285" s="45">
        <f>ABS(O285)</f>
        <v/>
      </c>
      <c r="Q285" s="8">
        <f>RANK(P285,$P$3:$P$308,1)</f>
        <v/>
      </c>
      <c r="R285" s="8">
        <f>IF(O285&gt;0,"Over-predicted","Under-predicted")</f>
        <v/>
      </c>
    </row>
    <row r="286">
      <c r="A286" s="2" t="inlineStr">
        <is>
          <t>STR-1074</t>
        </is>
      </c>
      <c r="B286" s="2" t="inlineStr">
        <is>
          <t>High Street</t>
        </is>
      </c>
      <c r="C286" s="2" t="inlineStr">
        <is>
          <t>West</t>
        </is>
      </c>
      <c r="D286" s="44" t="n">
        <v>487738.26</v>
      </c>
      <c r="E286" s="5" t="n">
        <v>1723</v>
      </c>
      <c r="F286" s="5" t="n">
        <v>27398.28</v>
      </c>
      <c r="G286" s="5" t="n">
        <v>81</v>
      </c>
      <c r="H286" s="5" t="n">
        <v>4.6</v>
      </c>
      <c r="I286" s="5" t="n">
        <v>0.171</v>
      </c>
      <c r="J286" s="5" t="n">
        <v>0</v>
      </c>
      <c r="K286" s="5">
        <f>IF(B286="High Street",1,0)</f>
        <v/>
      </c>
      <c r="L286" s="5">
        <f>IF(B286="Airport",1,0)</f>
        <v/>
      </c>
      <c r="M286" s="5">
        <f>IF(B286="Mall",1,0)</f>
        <v/>
      </c>
      <c r="N286" s="44">
        <f>$U$3+$U$4*E286+$U$5*F286+$U$6*G286+$U$7*H286+$U$8*I286+$U$9*J286+$U$10*K286+$U$11*L286+$U$12*M286</f>
        <v/>
      </c>
      <c r="O286" s="44">
        <f>D286-N286</f>
        <v/>
      </c>
      <c r="P286" s="44">
        <f>ABS(O286)</f>
        <v/>
      </c>
      <c r="Q286" s="5">
        <f>RANK(P286,$P$3:$P$308,1)</f>
        <v/>
      </c>
      <c r="R286" s="5">
        <f>IF(O286&gt;0,"Over-predicted","Under-predicted")</f>
        <v/>
      </c>
    </row>
    <row r="287">
      <c r="A287" s="6" t="inlineStr">
        <is>
          <t>STR-1075</t>
        </is>
      </c>
      <c r="B287" s="6" t="inlineStr">
        <is>
          <t>High Street</t>
        </is>
      </c>
      <c r="C287" s="6" t="inlineStr">
        <is>
          <t>West</t>
        </is>
      </c>
      <c r="D287" s="45" t="n">
        <v>668459.37</v>
      </c>
      <c r="E287" s="8" t="n">
        <v>5896</v>
      </c>
      <c r="F287" s="8" t="n">
        <v>55599.56</v>
      </c>
      <c r="G287" s="8" t="n">
        <v>93.09999999999999</v>
      </c>
      <c r="H287" s="8" t="n">
        <v>3.3</v>
      </c>
      <c r="I287" s="8" t="n">
        <v>0.036</v>
      </c>
      <c r="J287" s="8" t="n">
        <v>0</v>
      </c>
      <c r="K287" s="8">
        <f>IF(B287="High Street",1,0)</f>
        <v/>
      </c>
      <c r="L287" s="8">
        <f>IF(B287="Airport",1,0)</f>
        <v/>
      </c>
      <c r="M287" s="8">
        <f>IF(B287="Mall",1,0)</f>
        <v/>
      </c>
      <c r="N287" s="45">
        <f>$U$3+$U$4*E287+$U$5*F287+$U$6*G287+$U$7*H287+$U$8*I287+$U$9*J287+$U$10*K287+$U$11*L287+$U$12*M287</f>
        <v/>
      </c>
      <c r="O287" s="45">
        <f>D287-N287</f>
        <v/>
      </c>
      <c r="P287" s="45">
        <f>ABS(O287)</f>
        <v/>
      </c>
      <c r="Q287" s="8">
        <f>RANK(P287,$P$3:$P$308,1)</f>
        <v/>
      </c>
      <c r="R287" s="8">
        <f>IF(O287&gt;0,"Over-predicted","Under-predicted")</f>
        <v/>
      </c>
    </row>
    <row r="288">
      <c r="A288" s="2" t="inlineStr">
        <is>
          <t>STR-1075</t>
        </is>
      </c>
      <c r="B288" s="2" t="inlineStr">
        <is>
          <t>High Street</t>
        </is>
      </c>
      <c r="C288" s="2" t="inlineStr">
        <is>
          <t>West</t>
        </is>
      </c>
      <c r="D288" s="44" t="n">
        <v>763162.45</v>
      </c>
      <c r="E288" s="5" t="n">
        <v>5903</v>
      </c>
      <c r="F288" s="5" t="n">
        <v>55477.61</v>
      </c>
      <c r="G288" s="5" t="n">
        <v>96.2</v>
      </c>
      <c r="H288" s="5" t="n">
        <v>3.3</v>
      </c>
      <c r="I288" s="5" t="n">
        <v>0.102</v>
      </c>
      <c r="J288" s="5" t="n">
        <v>0</v>
      </c>
      <c r="K288" s="5">
        <f>IF(B288="High Street",1,0)</f>
        <v/>
      </c>
      <c r="L288" s="5">
        <f>IF(B288="Airport",1,0)</f>
        <v/>
      </c>
      <c r="M288" s="5">
        <f>IF(B288="Mall",1,0)</f>
        <v/>
      </c>
      <c r="N288" s="44">
        <f>$U$3+$U$4*E288+$U$5*F288+$U$6*G288+$U$7*H288+$U$8*I288+$U$9*J288+$U$10*K288+$U$11*L288+$U$12*M288</f>
        <v/>
      </c>
      <c r="O288" s="44">
        <f>D288-N288</f>
        <v/>
      </c>
      <c r="P288" s="44">
        <f>ABS(O288)</f>
        <v/>
      </c>
      <c r="Q288" s="5">
        <f>RANK(P288,$P$3:$P$308,1)</f>
        <v/>
      </c>
      <c r="R288" s="5">
        <f>IF(O288&gt;0,"Over-predicted","Under-predicted")</f>
        <v/>
      </c>
    </row>
    <row r="289">
      <c r="A289" s="6" t="inlineStr">
        <is>
          <t>STR-1075</t>
        </is>
      </c>
      <c r="B289" s="6" t="inlineStr">
        <is>
          <t>High Street</t>
        </is>
      </c>
      <c r="C289" s="6" t="inlineStr">
        <is>
          <t>West</t>
        </is>
      </c>
      <c r="D289" s="45" t="n">
        <v>599017.33</v>
      </c>
      <c r="E289" s="8" t="n">
        <v>4898</v>
      </c>
      <c r="F289" s="8" t="n">
        <v>46174.7</v>
      </c>
      <c r="G289" s="8" t="n">
        <v>91.7</v>
      </c>
      <c r="H289" s="8" t="n">
        <v>3.1</v>
      </c>
      <c r="I289" s="8" t="n">
        <v>0.114</v>
      </c>
      <c r="J289" s="8" t="n">
        <v>0</v>
      </c>
      <c r="K289" s="8">
        <f>IF(B289="High Street",1,0)</f>
        <v/>
      </c>
      <c r="L289" s="8">
        <f>IF(B289="Airport",1,0)</f>
        <v/>
      </c>
      <c r="M289" s="8">
        <f>IF(B289="Mall",1,0)</f>
        <v/>
      </c>
      <c r="N289" s="45">
        <f>$U$3+$U$4*E289+$U$5*F289+$U$6*G289+$U$7*H289+$U$8*I289+$U$9*J289+$U$10*K289+$U$11*L289+$U$12*M289</f>
        <v/>
      </c>
      <c r="O289" s="45">
        <f>D289-N289</f>
        <v/>
      </c>
      <c r="P289" s="45">
        <f>ABS(O289)</f>
        <v/>
      </c>
      <c r="Q289" s="8">
        <f>RANK(P289,$P$3:$P$308,1)</f>
        <v/>
      </c>
      <c r="R289" s="8">
        <f>IF(O289&gt;0,"Over-predicted","Under-predicted")</f>
        <v/>
      </c>
    </row>
    <row r="290">
      <c r="A290" s="2" t="inlineStr">
        <is>
          <t>STR-1075</t>
        </is>
      </c>
      <c r="B290" s="2" t="inlineStr">
        <is>
          <t>High Street</t>
        </is>
      </c>
      <c r="C290" s="2" t="inlineStr">
        <is>
          <t>West</t>
        </is>
      </c>
      <c r="D290" s="44" t="n">
        <v>401582.58</v>
      </c>
      <c r="E290" s="5" t="n">
        <v>1462</v>
      </c>
      <c r="F290" s="5" t="n">
        <v>24362.98</v>
      </c>
      <c r="G290" s="5" t="n">
        <v>89.3</v>
      </c>
      <c r="H290" s="5" t="n">
        <v>3.2</v>
      </c>
      <c r="I290" s="5" t="n">
        <v>0.117</v>
      </c>
      <c r="J290" s="5" t="n">
        <v>0</v>
      </c>
      <c r="K290" s="5">
        <f>IF(B290="High Street",1,0)</f>
        <v/>
      </c>
      <c r="L290" s="5">
        <f>IF(B290="Airport",1,0)</f>
        <v/>
      </c>
      <c r="M290" s="5">
        <f>IF(B290="Mall",1,0)</f>
        <v/>
      </c>
      <c r="N290" s="44">
        <f>$U$3+$U$4*E290+$U$5*F290+$U$6*G290+$U$7*H290+$U$8*I290+$U$9*J290+$U$10*K290+$U$11*L290+$U$12*M290</f>
        <v/>
      </c>
      <c r="O290" s="44">
        <f>D290-N290</f>
        <v/>
      </c>
      <c r="P290" s="44">
        <f>ABS(O290)</f>
        <v/>
      </c>
      <c r="Q290" s="5">
        <f>RANK(P290,$P$3:$P$308,1)</f>
        <v/>
      </c>
      <c r="R290" s="5">
        <f>IF(O290&gt;0,"Over-predicted","Under-predicted")</f>
        <v/>
      </c>
    </row>
    <row r="291">
      <c r="A291" s="6" t="inlineStr">
        <is>
          <t>STR-1076</t>
        </is>
      </c>
      <c r="B291" s="6" t="inlineStr">
        <is>
          <t>Mall</t>
        </is>
      </c>
      <c r="C291" s="6" t="inlineStr">
        <is>
          <t>North</t>
        </is>
      </c>
      <c r="D291" s="45" t="n">
        <v>703812.99</v>
      </c>
      <c r="E291" s="8" t="n">
        <v>8252</v>
      </c>
      <c r="F291" s="8" t="n">
        <v>40647.67</v>
      </c>
      <c r="G291" s="8" t="n">
        <v>88.2</v>
      </c>
      <c r="H291" s="8" t="n">
        <v>4.1</v>
      </c>
      <c r="I291" s="8" t="n">
        <v>0.141</v>
      </c>
      <c r="J291" s="8" t="n">
        <v>1</v>
      </c>
      <c r="K291" s="8">
        <f>IF(B291="High Street",1,0)</f>
        <v/>
      </c>
      <c r="L291" s="8">
        <f>IF(B291="Airport",1,0)</f>
        <v/>
      </c>
      <c r="M291" s="8">
        <f>IF(B291="Mall",1,0)</f>
        <v/>
      </c>
      <c r="N291" s="45">
        <f>$U$3+$U$4*E291+$U$5*F291+$U$6*G291+$U$7*H291+$U$8*I291+$U$9*J291+$U$10*K291+$U$11*L291+$U$12*M291</f>
        <v/>
      </c>
      <c r="O291" s="45">
        <f>D291-N291</f>
        <v/>
      </c>
      <c r="P291" s="45">
        <f>ABS(O291)</f>
        <v/>
      </c>
      <c r="Q291" s="8">
        <f>RANK(P291,$P$3:$P$308,1)</f>
        <v/>
      </c>
      <c r="R291" s="8">
        <f>IF(O291&gt;0,"Over-predicted","Under-predicted")</f>
        <v/>
      </c>
    </row>
    <row r="292">
      <c r="A292" s="2" t="inlineStr">
        <is>
          <t>STR-1076</t>
        </is>
      </c>
      <c r="B292" s="2" t="inlineStr">
        <is>
          <t>Mall</t>
        </is>
      </c>
      <c r="C292" s="2" t="inlineStr">
        <is>
          <t>North</t>
        </is>
      </c>
      <c r="D292" s="44" t="n">
        <v>724346.73</v>
      </c>
      <c r="E292" s="5" t="n">
        <v>7989</v>
      </c>
      <c r="F292" s="5" t="n">
        <v>63986.98</v>
      </c>
      <c r="G292" s="5" t="n">
        <v>83.3</v>
      </c>
      <c r="H292" s="5" t="n">
        <v>3.7</v>
      </c>
      <c r="I292" s="5" t="n">
        <v>0.074</v>
      </c>
      <c r="J292" s="5" t="n">
        <v>0</v>
      </c>
      <c r="K292" s="5">
        <f>IF(B292="High Street",1,0)</f>
        <v/>
      </c>
      <c r="L292" s="5">
        <f>IF(B292="Airport",1,0)</f>
        <v/>
      </c>
      <c r="M292" s="5">
        <f>IF(B292="Mall",1,0)</f>
        <v/>
      </c>
      <c r="N292" s="44">
        <f>$U$3+$U$4*E292+$U$5*F292+$U$6*G292+$U$7*H292+$U$8*I292+$U$9*J292+$U$10*K292+$U$11*L292+$U$12*M292</f>
        <v/>
      </c>
      <c r="O292" s="44">
        <f>D292-N292</f>
        <v/>
      </c>
      <c r="P292" s="44">
        <f>ABS(O292)</f>
        <v/>
      </c>
      <c r="Q292" s="5">
        <f>RANK(P292,$P$3:$P$308,1)</f>
        <v/>
      </c>
      <c r="R292" s="5">
        <f>IF(O292&gt;0,"Over-predicted","Under-predicted")</f>
        <v/>
      </c>
    </row>
    <row r="293">
      <c r="A293" s="6" t="inlineStr">
        <is>
          <t>STR-1076</t>
        </is>
      </c>
      <c r="B293" s="6" t="inlineStr">
        <is>
          <t>Mall</t>
        </is>
      </c>
      <c r="C293" s="6" t="inlineStr">
        <is>
          <t>North</t>
        </is>
      </c>
      <c r="D293" s="45" t="n">
        <v>730890.01</v>
      </c>
      <c r="E293" s="8" t="n">
        <v>8268</v>
      </c>
      <c r="F293" s="8" t="n">
        <v>52843.75</v>
      </c>
      <c r="G293" s="8" t="n">
        <v>87.3</v>
      </c>
      <c r="H293" s="8" t="n">
        <v>4.7</v>
      </c>
      <c r="I293" s="8" t="n">
        <v>0.138</v>
      </c>
      <c r="J293" s="8" t="n">
        <v>1</v>
      </c>
      <c r="K293" s="8">
        <f>IF(B293="High Street",1,0)</f>
        <v/>
      </c>
      <c r="L293" s="8">
        <f>IF(B293="Airport",1,0)</f>
        <v/>
      </c>
      <c r="M293" s="8">
        <f>IF(B293="Mall",1,0)</f>
        <v/>
      </c>
      <c r="N293" s="45">
        <f>$U$3+$U$4*E293+$U$5*F293+$U$6*G293+$U$7*H293+$U$8*I293+$U$9*J293+$U$10*K293+$U$11*L293+$U$12*M293</f>
        <v/>
      </c>
      <c r="O293" s="45">
        <f>D293-N293</f>
        <v/>
      </c>
      <c r="P293" s="45">
        <f>ABS(O293)</f>
        <v/>
      </c>
      <c r="Q293" s="8">
        <f>RANK(P293,$P$3:$P$308,1)</f>
        <v/>
      </c>
      <c r="R293" s="8">
        <f>IF(O293&gt;0,"Over-predicted","Under-predicted")</f>
        <v/>
      </c>
    </row>
    <row r="294">
      <c r="A294" s="2" t="inlineStr">
        <is>
          <t>STR-1076</t>
        </is>
      </c>
      <c r="B294" s="2" t="inlineStr">
        <is>
          <t>Mall</t>
        </is>
      </c>
      <c r="C294" s="2" t="inlineStr">
        <is>
          <t>North</t>
        </is>
      </c>
      <c r="D294" s="44" t="n">
        <v>780580.95</v>
      </c>
      <c r="E294" s="5" t="n">
        <v>8183</v>
      </c>
      <c r="F294" s="5" t="n">
        <v>31997.25</v>
      </c>
      <c r="G294" s="5" t="n">
        <v>93</v>
      </c>
      <c r="H294" s="5" t="n">
        <v>4.2</v>
      </c>
      <c r="I294" s="5" t="n">
        <v>0.198</v>
      </c>
      <c r="J294" s="5" t="n">
        <v>0</v>
      </c>
      <c r="K294" s="5">
        <f>IF(B294="High Street",1,0)</f>
        <v/>
      </c>
      <c r="L294" s="5">
        <f>IF(B294="Airport",1,0)</f>
        <v/>
      </c>
      <c r="M294" s="5">
        <f>IF(B294="Mall",1,0)</f>
        <v/>
      </c>
      <c r="N294" s="44">
        <f>$U$3+$U$4*E294+$U$5*F294+$U$6*G294+$U$7*H294+$U$8*I294+$U$9*J294+$U$10*K294+$U$11*L294+$U$12*M294</f>
        <v/>
      </c>
      <c r="O294" s="44">
        <f>D294-N294</f>
        <v/>
      </c>
      <c r="P294" s="44">
        <f>ABS(O294)</f>
        <v/>
      </c>
      <c r="Q294" s="5">
        <f>RANK(P294,$P$3:$P$308,1)</f>
        <v/>
      </c>
      <c r="R294" s="5">
        <f>IF(O294&gt;0,"Over-predicted","Under-predicted")</f>
        <v/>
      </c>
    </row>
    <row r="295">
      <c r="A295" s="6" t="inlineStr">
        <is>
          <t>STR-1077</t>
        </is>
      </c>
      <c r="B295" s="6" t="inlineStr">
        <is>
          <t>Residential</t>
        </is>
      </c>
      <c r="C295" s="6" t="inlineStr">
        <is>
          <t>South</t>
        </is>
      </c>
      <c r="D295" s="45" t="n">
        <v>727957.48</v>
      </c>
      <c r="E295" s="8" t="n">
        <v>6534</v>
      </c>
      <c r="F295" s="8" t="n">
        <v>54948.02</v>
      </c>
      <c r="G295" s="8" t="n">
        <v>94.5</v>
      </c>
      <c r="H295" s="8" t="n">
        <v>4</v>
      </c>
      <c r="I295" s="8" t="n">
        <v>0.183</v>
      </c>
      <c r="J295" s="8" t="n">
        <v>0</v>
      </c>
      <c r="K295" s="8">
        <f>IF(B295="High Street",1,0)</f>
        <v/>
      </c>
      <c r="L295" s="8">
        <f>IF(B295="Airport",1,0)</f>
        <v/>
      </c>
      <c r="M295" s="8">
        <f>IF(B295="Mall",1,0)</f>
        <v/>
      </c>
      <c r="N295" s="45">
        <f>$U$3+$U$4*E295+$U$5*F295+$U$6*G295+$U$7*H295+$U$8*I295+$U$9*J295+$U$10*K295+$U$11*L295+$U$12*M295</f>
        <v/>
      </c>
      <c r="O295" s="45">
        <f>D295-N295</f>
        <v/>
      </c>
      <c r="P295" s="45">
        <f>ABS(O295)</f>
        <v/>
      </c>
      <c r="Q295" s="8">
        <f>RANK(P295,$P$3:$P$308,1)</f>
        <v/>
      </c>
      <c r="R295" s="8">
        <f>IF(O295&gt;0,"Over-predicted","Under-predicted")</f>
        <v/>
      </c>
    </row>
    <row r="296">
      <c r="A296" s="2" t="inlineStr">
        <is>
          <t>STR-1077</t>
        </is>
      </c>
      <c r="B296" s="2" t="inlineStr">
        <is>
          <t>Residential</t>
        </is>
      </c>
      <c r="C296" s="2" t="inlineStr">
        <is>
          <t>South</t>
        </is>
      </c>
      <c r="D296" s="44" t="n">
        <v>538376</v>
      </c>
      <c r="E296" s="5" t="n">
        <v>5804</v>
      </c>
      <c r="F296" s="5" t="n">
        <v>46146.24</v>
      </c>
      <c r="G296" s="5" t="n">
        <v>86.90000000000001</v>
      </c>
      <c r="H296" s="5" t="n">
        <v>3.8</v>
      </c>
      <c r="I296" s="5" t="n">
        <v>0.047</v>
      </c>
      <c r="J296" s="5" t="n">
        <v>0</v>
      </c>
      <c r="K296" s="5">
        <f>IF(B296="High Street",1,0)</f>
        <v/>
      </c>
      <c r="L296" s="5">
        <f>IF(B296="Airport",1,0)</f>
        <v/>
      </c>
      <c r="M296" s="5">
        <f>IF(B296="Mall",1,0)</f>
        <v/>
      </c>
      <c r="N296" s="44">
        <f>$U$3+$U$4*E296+$U$5*F296+$U$6*G296+$U$7*H296+$U$8*I296+$U$9*J296+$U$10*K296+$U$11*L296+$U$12*M296</f>
        <v/>
      </c>
      <c r="O296" s="44">
        <f>D296-N296</f>
        <v/>
      </c>
      <c r="P296" s="44">
        <f>ABS(O296)</f>
        <v/>
      </c>
      <c r="Q296" s="5">
        <f>RANK(P296,$P$3:$P$308,1)</f>
        <v/>
      </c>
      <c r="R296" s="5">
        <f>IF(O296&gt;0,"Over-predicted","Under-predicted")</f>
        <v/>
      </c>
    </row>
    <row r="297">
      <c r="A297" s="6" t="inlineStr">
        <is>
          <t>STR-1077</t>
        </is>
      </c>
      <c r="B297" s="6" t="inlineStr">
        <is>
          <t>Residential</t>
        </is>
      </c>
      <c r="C297" s="6" t="inlineStr">
        <is>
          <t>South</t>
        </is>
      </c>
      <c r="D297" s="45" t="n">
        <v>665342.49</v>
      </c>
      <c r="E297" s="8" t="n">
        <v>6301</v>
      </c>
      <c r="F297" s="8" t="n">
        <v>22387.26</v>
      </c>
      <c r="G297" s="8" t="n">
        <v>85.90000000000001</v>
      </c>
      <c r="H297" s="8" t="n">
        <v>3.7</v>
      </c>
      <c r="I297" s="8" t="n">
        <v>0.146</v>
      </c>
      <c r="J297" s="8" t="n">
        <v>1</v>
      </c>
      <c r="K297" s="8">
        <f>IF(B297="High Street",1,0)</f>
        <v/>
      </c>
      <c r="L297" s="8">
        <f>IF(B297="Airport",1,0)</f>
        <v/>
      </c>
      <c r="M297" s="8">
        <f>IF(B297="Mall",1,0)</f>
        <v/>
      </c>
      <c r="N297" s="45">
        <f>$U$3+$U$4*E297+$U$5*F297+$U$6*G297+$U$7*H297+$U$8*I297+$U$9*J297+$U$10*K297+$U$11*L297+$U$12*M297</f>
        <v/>
      </c>
      <c r="O297" s="45">
        <f>D297-N297</f>
        <v/>
      </c>
      <c r="P297" s="45">
        <f>ABS(O297)</f>
        <v/>
      </c>
      <c r="Q297" s="8">
        <f>RANK(P297,$P$3:$P$308,1)</f>
        <v/>
      </c>
      <c r="R297" s="8">
        <f>IF(O297&gt;0,"Over-predicted","Under-predicted")</f>
        <v/>
      </c>
    </row>
    <row r="298">
      <c r="A298" s="2" t="inlineStr">
        <is>
          <t>STR-1077</t>
        </is>
      </c>
      <c r="B298" s="2" t="inlineStr">
        <is>
          <t>Residential</t>
        </is>
      </c>
      <c r="C298" s="2" t="inlineStr">
        <is>
          <t>South</t>
        </is>
      </c>
      <c r="D298" s="44" t="n">
        <v>651164.1800000001</v>
      </c>
      <c r="E298" s="5" t="n">
        <v>6399</v>
      </c>
      <c r="F298" s="5" t="n">
        <v>60684.05</v>
      </c>
      <c r="G298" s="5" t="n">
        <v>99</v>
      </c>
      <c r="H298" s="5" t="n">
        <v>3.5</v>
      </c>
      <c r="I298" s="5" t="n">
        <v>0.075</v>
      </c>
      <c r="J298" s="5" t="n">
        <v>0</v>
      </c>
      <c r="K298" s="5">
        <f>IF(B298="High Street",1,0)</f>
        <v/>
      </c>
      <c r="L298" s="5">
        <f>IF(B298="Airport",1,0)</f>
        <v/>
      </c>
      <c r="M298" s="5">
        <f>IF(B298="Mall",1,0)</f>
        <v/>
      </c>
      <c r="N298" s="44">
        <f>$U$3+$U$4*E298+$U$5*F298+$U$6*G298+$U$7*H298+$U$8*I298+$U$9*J298+$U$10*K298+$U$11*L298+$U$12*M298</f>
        <v/>
      </c>
      <c r="O298" s="44">
        <f>D298-N298</f>
        <v/>
      </c>
      <c r="P298" s="44">
        <f>ABS(O298)</f>
        <v/>
      </c>
      <c r="Q298" s="5">
        <f>RANK(P298,$P$3:$P$308,1)</f>
        <v/>
      </c>
      <c r="R298" s="5">
        <f>IF(O298&gt;0,"Over-predicted","Under-predicted")</f>
        <v/>
      </c>
    </row>
    <row r="299">
      <c r="A299" s="6" t="inlineStr">
        <is>
          <t>STR-1078</t>
        </is>
      </c>
      <c r="B299" s="6" t="inlineStr">
        <is>
          <t>High Street</t>
        </is>
      </c>
      <c r="C299" s="6" t="inlineStr">
        <is>
          <t>South</t>
        </is>
      </c>
      <c r="D299" s="45" t="n">
        <v>628538.3</v>
      </c>
      <c r="E299" s="8" t="n">
        <v>5759</v>
      </c>
      <c r="F299" s="8" t="n">
        <v>48465.6</v>
      </c>
      <c r="G299" s="8" t="n">
        <v>87.5</v>
      </c>
      <c r="H299" s="8" t="n">
        <v>4</v>
      </c>
      <c r="I299" s="8" t="n">
        <v>0.154</v>
      </c>
      <c r="J299" s="8" t="n">
        <v>0</v>
      </c>
      <c r="K299" s="8">
        <f>IF(B299="High Street",1,0)</f>
        <v/>
      </c>
      <c r="L299" s="8">
        <f>IF(B299="Airport",1,0)</f>
        <v/>
      </c>
      <c r="M299" s="8">
        <f>IF(B299="Mall",1,0)</f>
        <v/>
      </c>
      <c r="N299" s="45">
        <f>$U$3+$U$4*E299+$U$5*F299+$U$6*G299+$U$7*H299+$U$8*I299+$U$9*J299+$U$10*K299+$U$11*L299+$U$12*M299</f>
        <v/>
      </c>
      <c r="O299" s="45">
        <f>D299-N299</f>
        <v/>
      </c>
      <c r="P299" s="45">
        <f>ABS(O299)</f>
        <v/>
      </c>
      <c r="Q299" s="8">
        <f>RANK(P299,$P$3:$P$308,1)</f>
        <v/>
      </c>
      <c r="R299" s="8">
        <f>IF(O299&gt;0,"Over-predicted","Under-predicted")</f>
        <v/>
      </c>
    </row>
    <row r="300">
      <c r="A300" s="2" t="inlineStr">
        <is>
          <t>STR-1078</t>
        </is>
      </c>
      <c r="B300" s="2" t="inlineStr">
        <is>
          <t>High Street</t>
        </is>
      </c>
      <c r="C300" s="2" t="inlineStr">
        <is>
          <t>South</t>
        </is>
      </c>
      <c r="D300" s="44" t="n">
        <v>536524.84</v>
      </c>
      <c r="E300" s="5" t="n">
        <v>5285</v>
      </c>
      <c r="F300" s="5" t="n">
        <v>23702.38</v>
      </c>
      <c r="G300" s="5" t="n">
        <v>79.7</v>
      </c>
      <c r="H300" s="5" t="n">
        <v>4.3</v>
      </c>
      <c r="I300" s="5" t="n">
        <v>0.167</v>
      </c>
      <c r="J300" s="5" t="n">
        <v>0</v>
      </c>
      <c r="K300" s="5">
        <f>IF(B300="High Street",1,0)</f>
        <v/>
      </c>
      <c r="L300" s="5">
        <f>IF(B300="Airport",1,0)</f>
        <v/>
      </c>
      <c r="M300" s="5">
        <f>IF(B300="Mall",1,0)</f>
        <v/>
      </c>
      <c r="N300" s="44">
        <f>$U$3+$U$4*E300+$U$5*F300+$U$6*G300+$U$7*H300+$U$8*I300+$U$9*J300+$U$10*K300+$U$11*L300+$U$12*M300</f>
        <v/>
      </c>
      <c r="O300" s="44">
        <f>D300-N300</f>
        <v/>
      </c>
      <c r="P300" s="44">
        <f>ABS(O300)</f>
        <v/>
      </c>
      <c r="Q300" s="5">
        <f>RANK(P300,$P$3:$P$308,1)</f>
        <v/>
      </c>
      <c r="R300" s="5">
        <f>IF(O300&gt;0,"Over-predicted","Under-predicted")</f>
        <v/>
      </c>
    </row>
    <row r="301">
      <c r="A301" s="6" t="inlineStr">
        <is>
          <t>STR-1078</t>
        </is>
      </c>
      <c r="B301" s="6" t="inlineStr">
        <is>
          <t>High Street</t>
        </is>
      </c>
      <c r="C301" s="6" t="inlineStr">
        <is>
          <t>South</t>
        </is>
      </c>
      <c r="D301" s="45" t="n">
        <v>621677.3</v>
      </c>
      <c r="E301" s="8" t="n">
        <v>5434</v>
      </c>
      <c r="F301" s="8" t="n">
        <v>54322.94</v>
      </c>
      <c r="G301" s="8" t="n">
        <v>85.7</v>
      </c>
      <c r="H301" s="8" t="n">
        <v>4.2</v>
      </c>
      <c r="I301" s="8" t="n">
        <v>0.2</v>
      </c>
      <c r="J301" s="8" t="n">
        <v>0</v>
      </c>
      <c r="K301" s="8">
        <f>IF(B301="High Street",1,0)</f>
        <v/>
      </c>
      <c r="L301" s="8">
        <f>IF(B301="Airport",1,0)</f>
        <v/>
      </c>
      <c r="M301" s="8">
        <f>IF(B301="Mall",1,0)</f>
        <v/>
      </c>
      <c r="N301" s="45">
        <f>$U$3+$U$4*E301+$U$5*F301+$U$6*G301+$U$7*H301+$U$8*I301+$U$9*J301+$U$10*K301+$U$11*L301+$U$12*M301</f>
        <v/>
      </c>
      <c r="O301" s="45">
        <f>D301-N301</f>
        <v/>
      </c>
      <c r="P301" s="45">
        <f>ABS(O301)</f>
        <v/>
      </c>
      <c r="Q301" s="8">
        <f>RANK(P301,$P$3:$P$308,1)</f>
        <v/>
      </c>
      <c r="R301" s="8">
        <f>IF(O301&gt;0,"Over-predicted","Under-predicted")</f>
        <v/>
      </c>
    </row>
    <row r="302">
      <c r="A302" s="2" t="inlineStr">
        <is>
          <t>STR-1079</t>
        </is>
      </c>
      <c r="B302" s="2" t="inlineStr">
        <is>
          <t>Residential</t>
        </is>
      </c>
      <c r="C302" s="2" t="inlineStr">
        <is>
          <t>North</t>
        </is>
      </c>
      <c r="D302" s="44" t="n">
        <v>702052.47</v>
      </c>
      <c r="E302" s="5" t="n">
        <v>6164</v>
      </c>
      <c r="F302" s="5" t="n">
        <v>78967.52</v>
      </c>
      <c r="G302" s="5" t="n">
        <v>85.5</v>
      </c>
      <c r="H302" s="5" t="n">
        <v>3.4</v>
      </c>
      <c r="I302" s="5" t="n">
        <v>0.021</v>
      </c>
      <c r="J302" s="5" t="n">
        <v>0</v>
      </c>
      <c r="K302" s="5">
        <f>IF(B302="High Street",1,0)</f>
        <v/>
      </c>
      <c r="L302" s="5">
        <f>IF(B302="Airport",1,0)</f>
        <v/>
      </c>
      <c r="M302" s="5">
        <f>IF(B302="Mall",1,0)</f>
        <v/>
      </c>
      <c r="N302" s="44">
        <f>$U$3+$U$4*E302+$U$5*F302+$U$6*G302+$U$7*H302+$U$8*I302+$U$9*J302+$U$10*K302+$U$11*L302+$U$12*M302</f>
        <v/>
      </c>
      <c r="O302" s="44">
        <f>D302-N302</f>
        <v/>
      </c>
      <c r="P302" s="44">
        <f>ABS(O302)</f>
        <v/>
      </c>
      <c r="Q302" s="5">
        <f>RANK(P302,$P$3:$P$308,1)</f>
        <v/>
      </c>
      <c r="R302" s="5">
        <f>IF(O302&gt;0,"Over-predicted","Under-predicted")</f>
        <v/>
      </c>
    </row>
    <row r="303">
      <c r="A303" s="6" t="inlineStr">
        <is>
          <t>STR-1079</t>
        </is>
      </c>
      <c r="B303" s="6" t="inlineStr">
        <is>
          <t>Residential</t>
        </is>
      </c>
      <c r="C303" s="6" t="inlineStr">
        <is>
          <t>North</t>
        </is>
      </c>
      <c r="D303" s="45" t="n">
        <v>712375.77</v>
      </c>
      <c r="E303" s="8" t="n">
        <v>6000</v>
      </c>
      <c r="F303" s="8" t="n">
        <v>62507.16</v>
      </c>
      <c r="G303" s="8" t="n">
        <v>98.2</v>
      </c>
      <c r="H303" s="8" t="n">
        <v>3.9</v>
      </c>
      <c r="I303" s="8" t="n">
        <v>0.091</v>
      </c>
      <c r="J303" s="8" t="n">
        <v>1</v>
      </c>
      <c r="K303" s="8">
        <f>IF(B303="High Street",1,0)</f>
        <v/>
      </c>
      <c r="L303" s="8">
        <f>IF(B303="Airport",1,0)</f>
        <v/>
      </c>
      <c r="M303" s="8">
        <f>IF(B303="Mall",1,0)</f>
        <v/>
      </c>
      <c r="N303" s="45">
        <f>$U$3+$U$4*E303+$U$5*F303+$U$6*G303+$U$7*H303+$U$8*I303+$U$9*J303+$U$10*K303+$U$11*L303+$U$12*M303</f>
        <v/>
      </c>
      <c r="O303" s="45">
        <f>D303-N303</f>
        <v/>
      </c>
      <c r="P303" s="45">
        <f>ABS(O303)</f>
        <v/>
      </c>
      <c r="Q303" s="8">
        <f>RANK(P303,$P$3:$P$308,1)</f>
        <v/>
      </c>
      <c r="R303" s="8">
        <f>IF(O303&gt;0,"Over-predicted","Under-predicted")</f>
        <v/>
      </c>
    </row>
    <row r="304">
      <c r="A304" s="2" t="inlineStr">
        <is>
          <t>STR-1079</t>
        </is>
      </c>
      <c r="B304" s="2" t="inlineStr">
        <is>
          <t>Residential</t>
        </is>
      </c>
      <c r="C304" s="2" t="inlineStr">
        <is>
          <t>North</t>
        </is>
      </c>
      <c r="D304" s="44" t="n">
        <v>844710.67</v>
      </c>
      <c r="E304" s="5" t="n">
        <v>9967</v>
      </c>
      <c r="F304" s="5" t="n">
        <v>66456.28</v>
      </c>
      <c r="G304" s="5" t="n">
        <v>94.7</v>
      </c>
      <c r="H304" s="5" t="n">
        <v>4.2</v>
      </c>
      <c r="I304" s="5" t="n">
        <v>0.108</v>
      </c>
      <c r="J304" s="5" t="n">
        <v>0</v>
      </c>
      <c r="K304" s="5">
        <f>IF(B304="High Street",1,0)</f>
        <v/>
      </c>
      <c r="L304" s="5">
        <f>IF(B304="Airport",1,0)</f>
        <v/>
      </c>
      <c r="M304" s="5">
        <f>IF(B304="Mall",1,0)</f>
        <v/>
      </c>
      <c r="N304" s="44">
        <f>$U$3+$U$4*E304+$U$5*F304+$U$6*G304+$U$7*H304+$U$8*I304+$U$9*J304+$U$10*K304+$U$11*L304+$U$12*M304</f>
        <v/>
      </c>
      <c r="O304" s="44">
        <f>D304-N304</f>
        <v/>
      </c>
      <c r="P304" s="44">
        <f>ABS(O304)</f>
        <v/>
      </c>
      <c r="Q304" s="5">
        <f>RANK(P304,$P$3:$P$308,1)</f>
        <v/>
      </c>
      <c r="R304" s="5">
        <f>IF(O304&gt;0,"Over-predicted","Under-predicted")</f>
        <v/>
      </c>
    </row>
    <row r="305">
      <c r="A305" s="6" t="inlineStr">
        <is>
          <t>STR-1080</t>
        </is>
      </c>
      <c r="B305" s="6" t="inlineStr">
        <is>
          <t>Residential</t>
        </is>
      </c>
      <c r="C305" s="6" t="inlineStr">
        <is>
          <t>East</t>
        </is>
      </c>
      <c r="D305" s="45" t="n">
        <v>620264.2</v>
      </c>
      <c r="E305" s="8" t="n">
        <v>5639</v>
      </c>
      <c r="F305" s="8" t="n">
        <v>76614.32000000001</v>
      </c>
      <c r="G305" s="8" t="n">
        <v>92.90000000000001</v>
      </c>
      <c r="H305" s="8" t="n">
        <v>4</v>
      </c>
      <c r="I305" s="8" t="n">
        <v>0.174</v>
      </c>
      <c r="J305" s="8" t="n">
        <v>1</v>
      </c>
      <c r="K305" s="8">
        <f>IF(B305="High Street",1,0)</f>
        <v/>
      </c>
      <c r="L305" s="8">
        <f>IF(B305="Airport",1,0)</f>
        <v/>
      </c>
      <c r="M305" s="8">
        <f>IF(B305="Mall",1,0)</f>
        <v/>
      </c>
      <c r="N305" s="45">
        <f>$U$3+$U$4*E305+$U$5*F305+$U$6*G305+$U$7*H305+$U$8*I305+$U$9*J305+$U$10*K305+$U$11*L305+$U$12*M305</f>
        <v/>
      </c>
      <c r="O305" s="45">
        <f>D305-N305</f>
        <v/>
      </c>
      <c r="P305" s="45">
        <f>ABS(O305)</f>
        <v/>
      </c>
      <c r="Q305" s="8">
        <f>RANK(P305,$P$3:$P$308,1)</f>
        <v/>
      </c>
      <c r="R305" s="8">
        <f>IF(O305&gt;0,"Over-predicted","Under-predicted")</f>
        <v/>
      </c>
    </row>
    <row r="306">
      <c r="A306" s="2" t="inlineStr">
        <is>
          <t>STR-1080</t>
        </is>
      </c>
      <c r="B306" s="2" t="inlineStr">
        <is>
          <t>Residential</t>
        </is>
      </c>
      <c r="C306" s="2" t="inlineStr">
        <is>
          <t>East</t>
        </is>
      </c>
      <c r="D306" s="44" t="n">
        <v>536845.42</v>
      </c>
      <c r="E306" s="5" t="n">
        <v>3466</v>
      </c>
      <c r="F306" s="5" t="n">
        <v>24088.06</v>
      </c>
      <c r="G306" s="5" t="n">
        <v>88</v>
      </c>
      <c r="H306" s="5" t="n">
        <v>3.8</v>
      </c>
      <c r="I306" s="5" t="n">
        <v>0</v>
      </c>
      <c r="J306" s="5" t="n">
        <v>0</v>
      </c>
      <c r="K306" s="5">
        <f>IF(B306="High Street",1,0)</f>
        <v/>
      </c>
      <c r="L306" s="5">
        <f>IF(B306="Airport",1,0)</f>
        <v/>
      </c>
      <c r="M306" s="5">
        <f>IF(B306="Mall",1,0)</f>
        <v/>
      </c>
      <c r="N306" s="44">
        <f>$U$3+$U$4*E306+$U$5*F306+$U$6*G306+$U$7*H306+$U$8*I306+$U$9*J306+$U$10*K306+$U$11*L306+$U$12*M306</f>
        <v/>
      </c>
      <c r="O306" s="44">
        <f>D306-N306</f>
        <v/>
      </c>
      <c r="P306" s="44">
        <f>ABS(O306)</f>
        <v/>
      </c>
      <c r="Q306" s="5">
        <f>RANK(P306,$P$3:$P$308,1)</f>
        <v/>
      </c>
      <c r="R306" s="5">
        <f>IF(O306&gt;0,"Over-predicted","Under-predicted")</f>
        <v/>
      </c>
    </row>
    <row r="307">
      <c r="A307" s="6" t="inlineStr">
        <is>
          <t>STR-1080</t>
        </is>
      </c>
      <c r="B307" s="6" t="inlineStr">
        <is>
          <t>Residential</t>
        </is>
      </c>
      <c r="C307" s="6" t="inlineStr">
        <is>
          <t>East</t>
        </is>
      </c>
      <c r="D307" s="45" t="n">
        <v>726776.22</v>
      </c>
      <c r="E307" s="8" t="n">
        <v>7775</v>
      </c>
      <c r="F307" s="8" t="n">
        <v>81902.58</v>
      </c>
      <c r="G307" s="8" t="n">
        <v>85.2</v>
      </c>
      <c r="H307" s="8" t="n">
        <v>4.2</v>
      </c>
      <c r="I307" s="8" t="n">
        <v>0.215</v>
      </c>
      <c r="J307" s="8" t="n">
        <v>1</v>
      </c>
      <c r="K307" s="8">
        <f>IF(B307="High Street",1,0)</f>
        <v/>
      </c>
      <c r="L307" s="8">
        <f>IF(B307="Airport",1,0)</f>
        <v/>
      </c>
      <c r="M307" s="8">
        <f>IF(B307="Mall",1,0)</f>
        <v/>
      </c>
      <c r="N307" s="45">
        <f>$U$3+$U$4*E307+$U$5*F307+$U$6*G307+$U$7*H307+$U$8*I307+$U$9*J307+$U$10*K307+$U$11*L307+$U$12*M307</f>
        <v/>
      </c>
      <c r="O307" s="45">
        <f>D307-N307</f>
        <v/>
      </c>
      <c r="P307" s="45">
        <f>ABS(O307)</f>
        <v/>
      </c>
      <c r="Q307" s="8">
        <f>RANK(P307,$P$3:$P$308,1)</f>
        <v/>
      </c>
      <c r="R307" s="8">
        <f>IF(O307&gt;0,"Over-predicted","Under-predicted")</f>
        <v/>
      </c>
    </row>
    <row r="308">
      <c r="A308" s="2" t="inlineStr">
        <is>
          <t>STR-1080</t>
        </is>
      </c>
      <c r="B308" s="2" t="inlineStr">
        <is>
          <t>Residential</t>
        </is>
      </c>
      <c r="C308" s="2" t="inlineStr">
        <is>
          <t>East</t>
        </is>
      </c>
      <c r="D308" s="44" t="n">
        <v>559660.84</v>
      </c>
      <c r="E308" s="5" t="n">
        <v>5317</v>
      </c>
      <c r="F308" s="5" t="n">
        <v>40553.11</v>
      </c>
      <c r="G308" s="5" t="n">
        <v>84.3</v>
      </c>
      <c r="H308" s="5" t="n">
        <v>4.1</v>
      </c>
      <c r="I308" s="5" t="n">
        <v>0.165</v>
      </c>
      <c r="J308" s="5" t="n">
        <v>0</v>
      </c>
      <c r="K308" s="5">
        <f>IF(B308="High Street",1,0)</f>
        <v/>
      </c>
      <c r="L308" s="5">
        <f>IF(B308="Airport",1,0)</f>
        <v/>
      </c>
      <c r="M308" s="5">
        <f>IF(B308="Mall",1,0)</f>
        <v/>
      </c>
      <c r="N308" s="44">
        <f>$U$3+$U$4*E308+$U$5*F308+$U$6*G308+$U$7*H308+$U$8*I308+$U$9*J308+$U$10*K308+$U$11*L308+$U$12*M308</f>
        <v/>
      </c>
      <c r="O308" s="44">
        <f>D308-N308</f>
        <v/>
      </c>
      <c r="P308" s="44">
        <f>ABS(O308)</f>
        <v/>
      </c>
      <c r="Q308" s="5">
        <f>RANK(P308,$P$3:$P$308,1)</f>
        <v/>
      </c>
      <c r="R308" s="5">
        <f>IF(O308&gt;0,"Over-predicted","Under-predicted")</f>
        <v/>
      </c>
    </row>
    <row r="311" ht="20" customHeight="1">
      <c r="A311" s="4" t="inlineStr">
        <is>
          <t>Residual Summary Statistics (Excel formulas)</t>
        </is>
      </c>
    </row>
    <row r="312" ht="28" customHeight="1">
      <c r="A312" s="1" t="inlineStr">
        <is>
          <t>Metric</t>
        </is>
      </c>
      <c r="B312" s="1" t="inlineStr">
        <is>
          <t>Formula Result</t>
        </is>
      </c>
      <c r="C312" s="1" t="inlineStr">
        <is>
          <t>Interpretation</t>
        </is>
      </c>
    </row>
    <row r="313">
      <c r="A313" s="10" t="inlineStr">
        <is>
          <t>Mean of Residuals</t>
        </is>
      </c>
      <c r="B313" s="45">
        <f>AVERAGE(O3:O308)</f>
        <v/>
      </c>
      <c r="C313" s="6" t="inlineStr">
        <is>
          <t>Should be ≈ 0 for a valid OLS model</t>
        </is>
      </c>
    </row>
    <row r="314">
      <c r="A314" s="12" t="inlineStr">
        <is>
          <t>Mean |Residual|</t>
        </is>
      </c>
      <c r="B314" s="44">
        <f>AVERAGE(P3:P308)</f>
        <v/>
      </c>
      <c r="C314" s="2" t="inlineStr">
        <is>
          <t>Average absolute prediction error</t>
        </is>
      </c>
    </row>
    <row r="315">
      <c r="A315" s="10" t="inlineStr">
        <is>
          <t>Max Positive Residual</t>
        </is>
      </c>
      <c r="B315" s="45">
        <f>MAX(O3:O308)</f>
        <v/>
      </c>
      <c r="C315" s="6" t="inlineStr">
        <is>
          <t>Largest outperformer</t>
        </is>
      </c>
    </row>
    <row r="316">
      <c r="A316" s="12" t="inlineStr">
        <is>
          <t>Max Negative Residual</t>
        </is>
      </c>
      <c r="B316" s="44">
        <f>MIN(O3:O308)</f>
        <v/>
      </c>
      <c r="C316" s="2" t="inlineStr">
        <is>
          <t>Largest underperformer</t>
        </is>
      </c>
    </row>
    <row r="317">
      <c r="A317" s="10" t="inlineStr">
        <is>
          <t>RMSE (Root Mean Sq Error)</t>
        </is>
      </c>
      <c r="B317" s="45">
        <f>SQRT(SUMPRODUCT(O3:O308,O3:O308)/(306-10))</f>
        <v/>
      </c>
      <c r="C317" s="6" t="inlineStr">
        <is>
          <t>Model standard error</t>
        </is>
      </c>
    </row>
  </sheetData>
  <mergeCells count="2">
    <mergeCell ref="A1:I1"/>
    <mergeCell ref="A311:R3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44" customWidth="1" min="4" max="4"/>
  </cols>
  <sheetData>
    <row r="1" ht="20" customHeight="1">
      <c r="A1" s="9" t="inlineStr">
        <is>
          <t>Model Comparison — All Regression Models</t>
        </is>
      </c>
    </row>
    <row r="2" ht="28" customHeight="1">
      <c r="A2" s="1" t="inlineStr">
        <is>
          <t>Criteria</t>
        </is>
      </c>
      <c r="B2" s="1" t="inlineStr">
        <is>
          <t>Model 1 — Footfall (Simple)</t>
        </is>
      </c>
      <c r="C2" s="1" t="inlineStr">
        <is>
          <t>Model 2 — Marketing Spend (Simple)</t>
        </is>
      </c>
      <c r="D2" s="1" t="inlineStr">
        <is>
          <t>Model 3 — Multiple Regression (FINAL ✓)</t>
        </is>
      </c>
    </row>
    <row r="3" ht="32" customHeight="1">
      <c r="A3" s="10" t="inlineStr">
        <is>
          <t>Model Type</t>
        </is>
      </c>
      <c r="B3" s="8" t="inlineStr">
        <is>
          <t>Simple Linear Regression</t>
        </is>
      </c>
      <c r="C3" s="8" t="inlineStr">
        <is>
          <t>Simple Linear Regression</t>
        </is>
      </c>
      <c r="D3" s="49" t="inlineStr">
        <is>
          <t>Multiple Linear Regression</t>
        </is>
      </c>
    </row>
    <row r="4" ht="32" customHeight="1">
      <c r="A4" s="12" t="inlineStr">
        <is>
          <t>Dependent Variable</t>
        </is>
      </c>
      <c r="B4" s="5" t="inlineStr">
        <is>
          <t>monthly_sales</t>
        </is>
      </c>
      <c r="C4" s="5" t="inlineStr">
        <is>
          <t>monthly_sales</t>
        </is>
      </c>
      <c r="D4" s="49" t="inlineStr">
        <is>
          <t>monthly_sales</t>
        </is>
      </c>
    </row>
    <row r="5" ht="32" customHeight="1">
      <c r="A5" s="10" t="inlineStr">
        <is>
          <t>No. of Predictors</t>
        </is>
      </c>
      <c r="B5" s="8">
        <f>1</f>
        <v/>
      </c>
      <c r="C5" s="8">
        <f>1</f>
        <v/>
      </c>
      <c r="D5" s="49">
        <f>9</f>
        <v/>
      </c>
    </row>
    <row r="6" ht="32" customHeight="1">
      <c r="A6" s="12" t="inlineStr">
        <is>
          <t>Independent Variables</t>
        </is>
      </c>
      <c r="B6" s="5" t="inlineStr">
        <is>
          <t>footfall</t>
        </is>
      </c>
      <c r="C6" s="5" t="inlineStr">
        <is>
          <t>marketing_spend</t>
        </is>
      </c>
      <c r="D6" s="49" t="inlineStr">
        <is>
          <t>footfall, marketing_spend, inventory_availability_pct, customer_rating, avg_discount_pct, holiday_flag, is_high_street, is_airport, is_mall</t>
        </is>
      </c>
    </row>
    <row r="7" ht="32" customHeight="1">
      <c r="A7" s="10" t="inlineStr">
        <is>
          <t>Includes Dummy Variables?</t>
        </is>
      </c>
      <c r="B7" s="8" t="inlineStr">
        <is>
          <t>No</t>
        </is>
      </c>
      <c r="C7" s="8" t="inlineStr">
        <is>
          <t>No</t>
        </is>
      </c>
      <c r="D7" s="49" t="inlineStr">
        <is>
          <t>Yes — is_high_street, is_airport, is_mall (ref: Residential)</t>
        </is>
      </c>
    </row>
    <row r="8" ht="32" customHeight="1">
      <c r="A8" s="12" t="inlineStr">
        <is>
          <t>R-squared</t>
        </is>
      </c>
      <c r="B8" s="5">
        <f>INDEX(LINEST(Cleaned_Data!$M$3:$M$308,Cleaned_Data!$F$3:$F$308,TRUE,TRUE),3,1)</f>
        <v/>
      </c>
      <c r="C8" s="5">
        <f>INDEX(LINEST(Cleaned_Data!$M$3:$M$308,Cleaned_Data!$E$3:$E$308,TRUE,TRUE),3,1)</f>
        <v/>
      </c>
      <c r="D8" s="49" t="n">
        <v>0.8222</v>
      </c>
    </row>
    <row r="9" ht="32" customHeight="1">
      <c r="A9" s="10" t="inlineStr">
        <is>
          <t>R-squared %</t>
        </is>
      </c>
      <c r="B9" s="8">
        <f>TEXT(INDEX(LINEST(Cleaned_Data!$M$3:$M$308,Cleaned_Data!$F$3:$F$308,TRUE,TRUE),3,1)*100,"0.00")&amp;"%"</f>
        <v/>
      </c>
      <c r="C9" s="8">
        <f>TEXT(INDEX(LINEST(Cleaned_Data!$M$3:$M$308,Cleaned_Data!$E$3:$E$308,TRUE,TRUE),3,1)*100,"0.00")&amp;"%"</f>
        <v/>
      </c>
      <c r="D9" s="49">
        <f>TEXT(0.8222*100,"0.00")&amp;"%"</f>
        <v/>
      </c>
    </row>
    <row r="10" ht="32" customHeight="1">
      <c r="A10" s="12" t="inlineStr">
        <is>
          <t>Adjusted R-squared</t>
        </is>
      </c>
      <c r="B10" s="5" t="inlineStr">
        <is>
          <t>N/A (1 predictor)</t>
        </is>
      </c>
      <c r="C10" s="5" t="inlineStr">
        <is>
          <t>N/A (1 predictor)</t>
        </is>
      </c>
      <c r="D10" s="49" t="n">
        <v>0.8168</v>
      </c>
    </row>
    <row r="11" ht="32" customHeight="1">
      <c r="A11" s="10" t="inlineStr">
        <is>
          <t>Intercept (£)</t>
        </is>
      </c>
      <c r="B11" s="8" t="n">
        <v>447699.03</v>
      </c>
      <c r="C11" s="8" t="n">
        <v>567463.5600000001</v>
      </c>
      <c r="D11" s="49" t="n">
        <v>73762.67</v>
      </c>
    </row>
    <row r="12" ht="32" customHeight="1">
      <c r="A12" s="12" t="inlineStr">
        <is>
          <t>Key Predictor Coefficient</t>
        </is>
      </c>
      <c r="B12" s="5" t="inlineStr">
        <is>
          <t>footfall = 35.6415</t>
        </is>
      </c>
      <c r="C12" s="5" t="inlineStr">
        <is>
          <t>marketing_spend = 2.051932</t>
        </is>
      </c>
      <c r="D12" s="49" t="inlineStr">
        <is>
          <t>footfall = 33.5066, mktg = 1.174, inventory = 2954.44</t>
        </is>
      </c>
    </row>
    <row r="13" ht="32" customHeight="1">
      <c r="A13" s="10" t="inlineStr">
        <is>
          <t>Significant Variables (p&lt;0.05)</t>
        </is>
      </c>
      <c r="B13" s="8" t="inlineStr">
        <is>
          <t>footfall (p&lt;0.001)</t>
        </is>
      </c>
      <c r="C13" s="8" t="inlineStr">
        <is>
          <t>marketing_spend (p&lt;0.001)</t>
        </is>
      </c>
      <c r="D13" s="49" t="inlineStr">
        <is>
          <t>footfall, marketing_spend, inventory_availability_pct, customer_rating, is_high_street, is_airport, is_mall</t>
        </is>
      </c>
    </row>
    <row r="14" ht="32" customHeight="1">
      <c r="A14" s="12" t="inlineStr">
        <is>
          <t>Non-Significant Variables</t>
        </is>
      </c>
      <c r="B14" s="5" t="inlineStr">
        <is>
          <t>None</t>
        </is>
      </c>
      <c r="C14" s="5" t="inlineStr">
        <is>
          <t>None</t>
        </is>
      </c>
      <c r="D14" s="49" t="inlineStr">
        <is>
          <t>avg_discount_pct (p=0.125), holiday_flag (p=0.098)</t>
        </is>
      </c>
    </row>
    <row r="15" ht="32" customHeight="1">
      <c r="A15" s="10" t="inlineStr">
        <is>
          <t>Business Usefulness</t>
        </is>
      </c>
      <c r="B15" s="8" t="inlineStr">
        <is>
          <t>High — footfall strategy</t>
        </is>
      </c>
      <c r="C15" s="8" t="inlineStr">
        <is>
          <t>Moderate — marketing ROI baseline</t>
        </is>
      </c>
      <c r="D15" s="49" t="inlineStr">
        <is>
          <t>HIGHEST — covers all business levers</t>
        </is>
      </c>
    </row>
    <row r="16" ht="32" customHeight="1">
      <c r="A16" s="12" t="inlineStr">
        <is>
          <t>Key Limitation</t>
        </is>
      </c>
      <c r="B16" s="5" t="inlineStr">
        <is>
          <t>Ignores all other levers</t>
        </is>
      </c>
      <c r="C16" s="5" t="inlineStr">
        <is>
          <t>Explains only 15.7% of variance</t>
        </is>
      </c>
      <c r="D16" s="49" t="inlineStr">
        <is>
          <t>Assumes linearity; 4 months only</t>
        </is>
      </c>
    </row>
    <row r="17" ht="32" customHeight="1">
      <c r="A17" s="10" t="inlineStr">
        <is>
          <t>Is Final Model?</t>
        </is>
      </c>
      <c r="B17" s="8" t="inlineStr">
        <is>
          <t>No</t>
        </is>
      </c>
      <c r="C17" s="8" t="inlineStr">
        <is>
          <t>No</t>
        </is>
      </c>
      <c r="D17" s="50" t="inlineStr">
        <is>
          <t>YES ✓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2026-06-27T09:47:50Z</dcterms:created>
  <dcterms:modified xmlns:dcterms="http://purl.org/dc/terms/" xmlns:xsi="http://www.w3.org/2001/XMLSchema-instance" xsi:type="dcterms:W3CDTF">2026-06-27T09:47:52Z</dcterms:modified>
</cp:coreProperties>
</file>