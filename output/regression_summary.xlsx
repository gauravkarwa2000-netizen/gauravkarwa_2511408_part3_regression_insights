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000"/>
    <numFmt numFmtId="166" formatCode="0.000000"/>
  </numFmts>
  <fonts count="7">
    <font>
      <name val="Calibri"/>
      <family val="2"/>
      <color theme="1"/>
      <sz val="11"/>
      <scheme val="minor"/>
    </font>
    <font>
      <name val="Carlito"/>
      <b val="1"/>
      <color rgb="FFFFFFFF"/>
      <sz val="10"/>
    </font>
    <font>
      <name val="Carlito"/>
      <b val="1"/>
      <color rgb="FFFFFFFF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b val="1"/>
      <color rgb="FF375623"/>
      <sz val="11"/>
    </font>
    <font>
      <name val="Carlito"/>
      <b val="1"/>
      <color rgb="FF9C5700"/>
      <sz val="11"/>
    </font>
  </fonts>
  <fills count="8">
    <fill>
      <patternFill/>
    </fill>
    <fill>
      <patternFill patternType="gray125"/>
    </fill>
    <fill>
      <patternFill patternType="solid">
        <fgColor rgb="FF365F91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E8F5E9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4" fontId="4" fillId="5" borderId="0" applyAlignment="1" pivotButton="0" quotePrefix="0" xfId="0">
      <alignment horizontal="left" vertical="center" wrapText="1"/>
    </xf>
    <xf numFmtId="164" fontId="4" fillId="4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165" fontId="4" fillId="4" borderId="0" applyAlignment="1" pivotButton="0" quotePrefix="0" xfId="0">
      <alignment horizontal="center" vertical="center" wrapText="1"/>
    </xf>
    <xf numFmtId="164" fontId="4" fillId="4" borderId="0" applyAlignment="1" pivotButton="0" quotePrefix="0" xfId="0">
      <alignment horizontal="center" vertical="center" wrapText="1"/>
    </xf>
    <xf numFmtId="166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165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166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 wrapText="1"/>
    </xf>
    <xf numFmtId="165" fontId="4" fillId="7" borderId="0" applyAlignment="1" pivotButton="0" quotePrefix="0" xfId="0">
      <alignment horizontal="center" vertical="center" wrapText="1"/>
    </xf>
    <xf numFmtId="164" fontId="4" fillId="7" borderId="0" applyAlignment="1" pivotButton="0" quotePrefix="0" xfId="0">
      <alignment horizontal="center" vertical="center" wrapText="1"/>
    </xf>
    <xf numFmtId="166" fontId="4" fillId="7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30" customWidth="1" min="4" max="4"/>
    <col width="16" customWidth="1" min="5" max="5"/>
  </cols>
  <sheetData>
    <row r="1" ht="20" customHeight="1">
      <c r="A1" s="1" t="inlineStr">
        <is>
          <t>Regression Model Comparison Summary — Retail Chain Sales Analysis</t>
        </is>
      </c>
    </row>
    <row r="2" ht="20" customHeight="1">
      <c r="A2" s="2" t="inlineStr">
        <is>
          <t>Dataset: business_regression_data.xlsx | Cleaned rows: 306 | Dependent Variable: monthly_sales</t>
        </is>
      </c>
    </row>
    <row r="3" ht="28" customHeight="1">
      <c r="A3" s="3" t="inlineStr">
        <is>
          <t>Criteria</t>
        </is>
      </c>
      <c r="B3" s="3" t="inlineStr">
        <is>
          <t>Model 1
(Footfall — Simple)</t>
        </is>
      </c>
      <c r="C3" s="3" t="inlineStr">
        <is>
          <t>Model 2
(Marketing — Simple)</t>
        </is>
      </c>
      <c r="D3" s="3" t="inlineStr">
        <is>
          <t>Model 3
(Multiple — FINAL ✓)</t>
        </is>
      </c>
      <c r="E3" s="3" t="inlineStr">
        <is>
          <t>Notes</t>
        </is>
      </c>
    </row>
    <row r="4" ht="40" customHeight="1">
      <c r="A4" s="4" t="inlineStr">
        <is>
          <t>Model Type</t>
        </is>
      </c>
      <c r="B4" s="5" t="inlineStr">
        <is>
          <t>Simple Linear</t>
        </is>
      </c>
      <c r="C4" s="5" t="inlineStr">
        <is>
          <t>Simple Linear</t>
        </is>
      </c>
      <c r="D4" s="6" t="inlineStr">
        <is>
          <t>Multiple Linear</t>
        </is>
      </c>
      <c r="E4" s="5" t="inlineStr">
        <is>
          <t>OLS method</t>
        </is>
      </c>
    </row>
    <row r="5" ht="40" customHeight="1">
      <c r="A5" s="7" t="inlineStr">
        <is>
          <t>Dependent Variable</t>
        </is>
      </c>
      <c r="B5" s="8" t="inlineStr">
        <is>
          <t>monthly_sales</t>
        </is>
      </c>
      <c r="C5" s="8" t="inlineStr">
        <is>
          <t>monthly_sales</t>
        </is>
      </c>
      <c r="D5" s="6" t="inlineStr">
        <is>
          <t>monthly_sales</t>
        </is>
      </c>
      <c r="E5" s="8" t="inlineStr">
        <is>
          <t>Target outcome</t>
        </is>
      </c>
    </row>
    <row r="6" ht="40" customHeight="1">
      <c r="A6" s="4" t="inlineStr">
        <is>
          <t>No. of Predictors (k)</t>
        </is>
      </c>
      <c r="B6" s="5" t="inlineStr">
        <is>
          <t>1</t>
        </is>
      </c>
      <c r="C6" s="5" t="inlineStr">
        <is>
          <t>1</t>
        </is>
      </c>
      <c r="D6" s="6" t="inlineStr">
        <is>
          <t>9</t>
        </is>
      </c>
      <c r="E6" s="5" t="inlineStr">
        <is>
          <t>Excluding intercept</t>
        </is>
      </c>
    </row>
    <row r="7" ht="40" customHeight="1">
      <c r="A7" s="7" t="inlineStr">
        <is>
          <t>Independent Variables</t>
        </is>
      </c>
      <c r="B7" s="8" t="inlineStr">
        <is>
          <t>footfall</t>
        </is>
      </c>
      <c r="C7" s="8" t="inlineStr">
        <is>
          <t>marketing_spend</t>
        </is>
      </c>
      <c r="D7" s="6" t="inlineStr">
        <is>
          <t>footfall, marketing_spend, inventory_availability_pct,
customer_rating, avg_discount_pct, holiday_flag,
is_high_street, is_airport, is_mall</t>
        </is>
      </c>
      <c r="E7" s="8" t="inlineStr">
        <is>
          <t>All numerical + dummy vars</t>
        </is>
      </c>
    </row>
    <row r="8" ht="40" customHeight="1">
      <c r="A8" s="4" t="inlineStr">
        <is>
          <t>Dummy Variables?</t>
        </is>
      </c>
      <c r="B8" s="5" t="inlineStr">
        <is>
          <t>No</t>
        </is>
      </c>
      <c r="C8" s="5" t="inlineStr">
        <is>
          <t>No</t>
        </is>
      </c>
      <c r="D8" s="6" t="inlineStr">
        <is>
          <t>Yes (is_high_street, is_airport, is_mall)
Reference: Residential</t>
        </is>
      </c>
      <c r="E8" s="5" t="inlineStr">
        <is>
          <t>Avoids dummy variable trap</t>
        </is>
      </c>
    </row>
    <row r="9" ht="40" customHeight="1">
      <c r="A9" s="7" t="inlineStr">
        <is>
          <t>R-squared</t>
        </is>
      </c>
      <c r="B9" s="9" t="n">
        <v>0.7348</v>
      </c>
      <c r="C9" s="9" t="n">
        <v>0.1574</v>
      </c>
      <c r="D9" s="10" t="n">
        <v>0.8222</v>
      </c>
      <c r="E9" s="8" t="inlineStr">
        <is>
          <t>Higher = better fit</t>
        </is>
      </c>
    </row>
    <row r="10" ht="40" customHeight="1">
      <c r="A10" s="4" t="inlineStr">
        <is>
          <t>% Variance Explained</t>
        </is>
      </c>
      <c r="B10" s="5" t="inlineStr">
        <is>
          <t>73.5%</t>
        </is>
      </c>
      <c r="C10" s="5" t="inlineStr">
        <is>
          <t>15.7%</t>
        </is>
      </c>
      <c r="D10" s="6" t="inlineStr">
        <is>
          <t>82.2%</t>
        </is>
      </c>
      <c r="E10" s="5" t="inlineStr">
        <is>
          <t>R² × 100</t>
        </is>
      </c>
    </row>
    <row r="11" ht="40" customHeight="1">
      <c r="A11" s="7" t="inlineStr">
        <is>
          <t>Adjusted R-squared</t>
        </is>
      </c>
      <c r="B11" s="8" t="inlineStr">
        <is>
          <t>N/A</t>
        </is>
      </c>
      <c r="C11" s="8" t="inlineStr">
        <is>
          <t>N/A</t>
        </is>
      </c>
      <c r="D11" s="10" t="n">
        <v>0.8168</v>
      </c>
      <c r="E11" s="8" t="inlineStr">
        <is>
          <t>Penalises extra predictors</t>
        </is>
      </c>
    </row>
    <row r="12" ht="40" customHeight="1">
      <c r="A12" s="4" t="inlineStr">
        <is>
          <t>Intercept (β₀)</t>
        </is>
      </c>
      <c r="B12" s="11" t="n">
        <v>447699.03</v>
      </c>
      <c r="C12" s="11" t="n">
        <v>567463.5600000001</v>
      </c>
      <c r="D12" s="10" t="n">
        <v>73762.67</v>
      </c>
      <c r="E12" s="5" t="inlineStr">
        <is>
          <t>Baseline when all X = 0</t>
        </is>
      </c>
    </row>
    <row r="13" ht="40" customHeight="1">
      <c r="A13" s="7" t="inlineStr">
        <is>
          <t>footfall coefficient</t>
        </is>
      </c>
      <c r="B13" s="9" t="n">
        <v>35.6415</v>
      </c>
      <c r="C13" s="8" t="inlineStr">
        <is>
          <t>N/A</t>
        </is>
      </c>
      <c r="D13" s="10" t="n">
        <v>33.5066</v>
      </c>
      <c r="E13" s="8" t="inlineStr">
        <is>
          <t>£ per additional visitor</t>
        </is>
      </c>
    </row>
    <row r="14" ht="40" customHeight="1">
      <c r="A14" s="4" t="inlineStr">
        <is>
          <t>marketing_spend coeff</t>
        </is>
      </c>
      <c r="B14" s="5" t="inlineStr">
        <is>
          <t>N/A</t>
        </is>
      </c>
      <c r="C14" s="11" t="n">
        <v>2.051932</v>
      </c>
      <c r="D14" s="10" t="n">
        <v>1.174046</v>
      </c>
      <c r="E14" s="5" t="inlineStr">
        <is>
          <t>£ per £1 of marketing</t>
        </is>
      </c>
    </row>
    <row r="15" ht="40" customHeight="1">
      <c r="A15" s="7" t="inlineStr">
        <is>
          <t>inventory_availability_pct coeff</t>
        </is>
      </c>
      <c r="B15" s="8" t="inlineStr">
        <is>
          <t>N/A</t>
        </is>
      </c>
      <c r="C15" s="8" t="inlineStr">
        <is>
          <t>N/A</t>
        </is>
      </c>
      <c r="D15" s="10" t="n">
        <v>2954.44</v>
      </c>
      <c r="E15" s="8" t="inlineStr">
        <is>
          <t>£ per 1pp stock improvement</t>
        </is>
      </c>
    </row>
    <row r="16" ht="40" customHeight="1">
      <c r="A16" s="4" t="inlineStr">
        <is>
          <t>customer_rating coeff</t>
        </is>
      </c>
      <c r="B16" s="5" t="inlineStr">
        <is>
          <t>N/A</t>
        </is>
      </c>
      <c r="C16" s="5" t="inlineStr">
        <is>
          <t>N/A</t>
        </is>
      </c>
      <c r="D16" s="10" t="n">
        <v>12808.63</v>
      </c>
      <c r="E16" s="5" t="inlineStr">
        <is>
          <t>£ per 1-point rating rise</t>
        </is>
      </c>
    </row>
    <row r="17" ht="40" customHeight="1">
      <c r="A17" s="7" t="inlineStr">
        <is>
          <t>avg_discount_pct coeff</t>
        </is>
      </c>
      <c r="B17" s="8" t="inlineStr">
        <is>
          <t>N/A</t>
        </is>
      </c>
      <c r="C17" s="8" t="inlineStr">
        <is>
          <t>N/A</t>
        </is>
      </c>
      <c r="D17" s="10" t="n">
        <v>-57469.08</v>
      </c>
      <c r="E17" s="8" t="inlineStr">
        <is>
          <t>Negative — not significant</t>
        </is>
      </c>
    </row>
    <row r="18" ht="40" customHeight="1">
      <c r="A18" s="4" t="inlineStr">
        <is>
          <t>is_airport coeff</t>
        </is>
      </c>
      <c r="B18" s="5" t="inlineStr">
        <is>
          <t>N/A</t>
        </is>
      </c>
      <c r="C18" s="5" t="inlineStr">
        <is>
          <t>N/A</t>
        </is>
      </c>
      <c r="D18" s="10" t="n">
        <v>38824.96</v>
      </c>
      <c r="E18" s="5" t="inlineStr">
        <is>
          <t>vs Residential baseline</t>
        </is>
      </c>
    </row>
    <row r="19" ht="40" customHeight="1">
      <c r="A19" s="7" t="inlineStr">
        <is>
          <t>is_mall coeff</t>
        </is>
      </c>
      <c r="B19" s="8" t="inlineStr">
        <is>
          <t>N/A</t>
        </is>
      </c>
      <c r="C19" s="8" t="inlineStr">
        <is>
          <t>N/A</t>
        </is>
      </c>
      <c r="D19" s="10" t="n">
        <v>26401.95</v>
      </c>
      <c r="E19" s="8" t="inlineStr">
        <is>
          <t>vs Residential baseline</t>
        </is>
      </c>
    </row>
    <row r="20" ht="40" customHeight="1">
      <c r="A20" s="4" t="inlineStr">
        <is>
          <t>is_high_street coeff</t>
        </is>
      </c>
      <c r="B20" s="5" t="inlineStr">
        <is>
          <t>N/A</t>
        </is>
      </c>
      <c r="C20" s="5" t="inlineStr">
        <is>
          <t>N/A</t>
        </is>
      </c>
      <c r="D20" s="10" t="n">
        <v>16295.03</v>
      </c>
      <c r="E20" s="5" t="inlineStr">
        <is>
          <t>vs Residential baseline</t>
        </is>
      </c>
    </row>
    <row r="21" ht="40" customHeight="1">
      <c r="A21" s="7" t="inlineStr">
        <is>
          <t>Significant Vars (p&lt;0.05)</t>
        </is>
      </c>
      <c r="B21" s="8" t="inlineStr">
        <is>
          <t>footfall</t>
        </is>
      </c>
      <c r="C21" s="8" t="inlineStr">
        <is>
          <t>marketing_spend</t>
        </is>
      </c>
      <c r="D21" s="6" t="inlineStr">
        <is>
          <t>footfall, marketing_spend, inventory_availability_pct,
customer_rating, is_high_street, is_airport, is_mall</t>
        </is>
      </c>
      <c r="E21" s="8" t="inlineStr">
        <is>
          <t>7 of 9 predictors</t>
        </is>
      </c>
    </row>
    <row r="22" ht="40" customHeight="1">
      <c r="A22" s="4" t="inlineStr">
        <is>
          <t>Non-Significant Vars</t>
        </is>
      </c>
      <c r="B22" s="5" t="inlineStr">
        <is>
          <t>None</t>
        </is>
      </c>
      <c r="C22" s="5" t="inlineStr">
        <is>
          <t>None</t>
        </is>
      </c>
      <c r="D22" s="6" t="inlineStr">
        <is>
          <t>avg_discount_pct (p=0.125)
holiday_flag (p=0.098)</t>
        </is>
      </c>
      <c r="E22" s="5" t="inlineStr">
        <is>
          <t>Cannot reject H₀ at 5%</t>
        </is>
      </c>
    </row>
    <row r="23" ht="40" customHeight="1">
      <c r="A23" s="7" t="inlineStr">
        <is>
          <t>Business Usefulness</t>
        </is>
      </c>
      <c r="B23" s="8" t="inlineStr">
        <is>
          <t>High — traffic focus</t>
        </is>
      </c>
      <c r="C23" s="8" t="inlineStr">
        <is>
          <t>Moderate — marketing ROI</t>
        </is>
      </c>
      <c r="D23" s="6" t="inlineStr">
        <is>
          <t>HIGHEST — multi-lever strategy</t>
        </is>
      </c>
      <c r="E23" s="8" t="inlineStr">
        <is>
          <t>Covers most decision levers</t>
        </is>
      </c>
    </row>
    <row r="24" ht="40" customHeight="1">
      <c r="A24" s="4" t="inlineStr">
        <is>
          <t>Key Limitation</t>
        </is>
      </c>
      <c r="B24" s="5" t="inlineStr">
        <is>
          <t>Ignores all other levers</t>
        </is>
      </c>
      <c r="C24" s="5" t="inlineStr">
        <is>
          <t>Explains only 15.7%</t>
        </is>
      </c>
      <c r="D24" s="6" t="inlineStr">
        <is>
          <t>Assumes linearity; 4 months only</t>
        </is>
      </c>
      <c r="E24" s="5" t="inlineStr">
        <is>
          <t>All models have limits</t>
        </is>
      </c>
    </row>
    <row r="25" ht="40" customHeight="1">
      <c r="A25" s="7" t="inlineStr">
        <is>
          <t>Final Model?</t>
        </is>
      </c>
      <c r="B25" s="8" t="inlineStr">
        <is>
          <t>No</t>
        </is>
      </c>
      <c r="C25" s="8" t="inlineStr">
        <is>
          <t>No</t>
        </is>
      </c>
      <c r="D25" s="12" t="inlineStr">
        <is>
          <t>YES ✓</t>
        </is>
      </c>
      <c r="E25" s="8" t="inlineStr">
        <is>
          <t>Selected for all recommendations</t>
        </is>
      </c>
    </row>
    <row r="28" ht="20" customHeight="1">
      <c r="A28" s="2" t="inlineStr">
        <is>
          <t>P-value Verification (Excel T.DIST formulas)</t>
        </is>
      </c>
    </row>
    <row r="29" ht="28" customHeight="1">
      <c r="A29" s="3" t="inlineStr">
        <is>
          <t>Variable</t>
        </is>
      </c>
      <c r="B29" s="3" t="inlineStr">
        <is>
          <t>Coefficient</t>
        </is>
      </c>
      <c r="C29" s="3" t="inlineStr">
        <is>
          <t>t-Statistic</t>
        </is>
      </c>
      <c r="D29" s="3" t="inlineStr">
        <is>
          <t>P-value (Excel formula)</t>
        </is>
      </c>
      <c r="E29" s="3" t="inlineStr">
        <is>
          <t>Significant?</t>
        </is>
      </c>
    </row>
    <row r="30" ht="20" customHeight="1">
      <c r="A30" s="4" t="inlineStr">
        <is>
          <t>Intercept</t>
        </is>
      </c>
      <c r="B30" s="13" t="n">
        <v>73762.6747</v>
      </c>
      <c r="C30" s="14" t="n">
        <v>1.4738</v>
      </c>
      <c r="D30" s="15">
        <f>2*(1-T.DIST(ABS(C30),306-10,TRUE))</f>
        <v/>
      </c>
      <c r="E30" s="16">
        <f>IF(D30&lt;0.001,"★★★",IF(D30&lt;0.01,"★★",IF(D30&lt;0.05,"★ Sig",IF(D30&lt;0.1,"~ Marginal","✗ NS"))))</f>
        <v/>
      </c>
    </row>
    <row r="31" ht="20" customHeight="1">
      <c r="A31" s="17" t="inlineStr">
        <is>
          <t>footfall</t>
        </is>
      </c>
      <c r="B31" s="18" t="n">
        <v>33.5066</v>
      </c>
      <c r="C31" s="19" t="n">
        <v>31.3966</v>
      </c>
      <c r="D31" s="20">
        <f>2*(1-T.DIST(ABS(C31),306-10,TRUE))</f>
        <v/>
      </c>
      <c r="E31" s="21">
        <f>IF(D31&lt;0.001,"★★★",IF(D31&lt;0.01,"★★",IF(D31&lt;0.05,"★ Sig",IF(D31&lt;0.1,"~ Marginal","✗ NS"))))</f>
        <v/>
      </c>
    </row>
    <row r="32" ht="20" customHeight="1">
      <c r="A32" s="17" t="inlineStr">
        <is>
          <t>marketing_spend</t>
        </is>
      </c>
      <c r="B32" s="18" t="n">
        <v>1.174</v>
      </c>
      <c r="C32" s="19" t="n">
        <v>8.997400000000001</v>
      </c>
      <c r="D32" s="20">
        <f>2*(1-T.DIST(ABS(C32),306-10,TRUE))</f>
        <v/>
      </c>
      <c r="E32" s="21">
        <f>IF(D32&lt;0.001,"★★★",IF(D32&lt;0.01,"★★",IF(D32&lt;0.05,"★ Sig",IF(D32&lt;0.1,"~ Marginal","✗ NS"))))</f>
        <v/>
      </c>
    </row>
    <row r="33" ht="20" customHeight="1">
      <c r="A33" s="17" t="inlineStr">
        <is>
          <t>inventory_availability_pct</t>
        </is>
      </c>
      <c r="B33" s="18" t="n">
        <v>2954.4359</v>
      </c>
      <c r="C33" s="19" t="n">
        <v>6.1199</v>
      </c>
      <c r="D33" s="20">
        <f>2*(1-T.DIST(ABS(C33),306-10,TRUE))</f>
        <v/>
      </c>
      <c r="E33" s="21">
        <f>IF(D33&lt;0.001,"★★★",IF(D33&lt;0.01,"★★",IF(D33&lt;0.05,"★ Sig",IF(D33&lt;0.1,"~ Marginal","✗ NS"))))</f>
        <v/>
      </c>
    </row>
    <row r="34" ht="20" customHeight="1">
      <c r="A34" s="17" t="inlineStr">
        <is>
          <t>customer_rating</t>
        </is>
      </c>
      <c r="B34" s="18" t="n">
        <v>12808.6303</v>
      </c>
      <c r="C34" s="19" t="n">
        <v>2.6377</v>
      </c>
      <c r="D34" s="20">
        <f>2*(1-T.DIST(ABS(C34),306-10,TRUE))</f>
        <v/>
      </c>
      <c r="E34" s="21">
        <f>IF(D34&lt;0.001,"★★★",IF(D34&lt;0.01,"★★",IF(D34&lt;0.05,"★ Sig",IF(D34&lt;0.1,"~ Marginal","✗ NS"))))</f>
        <v/>
      </c>
    </row>
    <row r="35" ht="20" customHeight="1">
      <c r="A35" s="7" t="inlineStr">
        <is>
          <t>avg_discount_pct</t>
        </is>
      </c>
      <c r="B35" s="22" t="n">
        <v>-57469.0847</v>
      </c>
      <c r="C35" s="23" t="n">
        <v>-1.5367</v>
      </c>
      <c r="D35" s="24">
        <f>2*(1-T.DIST(ABS(C35),306-10,TRUE))</f>
        <v/>
      </c>
      <c r="E35" s="25">
        <f>IF(D35&lt;0.001,"★★★",IF(D35&lt;0.01,"★★",IF(D35&lt;0.05,"★ Sig",IF(D35&lt;0.1,"~ Marginal","✗ NS"))))</f>
        <v/>
      </c>
    </row>
    <row r="36" ht="20" customHeight="1">
      <c r="A36" s="26" t="inlineStr">
        <is>
          <t>holiday_flag</t>
        </is>
      </c>
      <c r="B36" s="27" t="n">
        <v>11148.5146</v>
      </c>
      <c r="C36" s="28" t="n">
        <v>1.659</v>
      </c>
      <c r="D36" s="29">
        <f>2*(1-T.DIST(ABS(C36),306-10,TRUE))</f>
        <v/>
      </c>
      <c r="E36" s="30">
        <f>IF(D36&lt;0.001,"★★★",IF(D36&lt;0.01,"★★",IF(D36&lt;0.05,"★ Sig",IF(D36&lt;0.1,"~ Marginal","✗ NS"))))</f>
        <v/>
      </c>
    </row>
    <row r="37" ht="20" customHeight="1">
      <c r="A37" s="17" t="inlineStr">
        <is>
          <t>is_high_street</t>
        </is>
      </c>
      <c r="B37" s="18" t="n">
        <v>16295.0252</v>
      </c>
      <c r="C37" s="19" t="n">
        <v>2.6132</v>
      </c>
      <c r="D37" s="20">
        <f>2*(1-T.DIST(ABS(C37),306-10,TRUE))</f>
        <v/>
      </c>
      <c r="E37" s="21">
        <f>IF(D37&lt;0.001,"★★★",IF(D37&lt;0.01,"★★",IF(D37&lt;0.05,"★ Sig",IF(D37&lt;0.1,"~ Marginal","✗ NS"))))</f>
        <v/>
      </c>
    </row>
    <row r="38" ht="20" customHeight="1">
      <c r="A38" s="17" t="inlineStr">
        <is>
          <t>is_airport</t>
        </is>
      </c>
      <c r="B38" s="18" t="n">
        <v>38824.9628</v>
      </c>
      <c r="C38" s="19" t="n">
        <v>4.0601</v>
      </c>
      <c r="D38" s="20">
        <f>2*(1-T.DIST(ABS(C38),306-10,TRUE))</f>
        <v/>
      </c>
      <c r="E38" s="21">
        <f>IF(D38&lt;0.001,"★★★",IF(D38&lt;0.01,"★★",IF(D38&lt;0.05,"★ Sig",IF(D38&lt;0.1,"~ Marginal","✗ NS"))))</f>
        <v/>
      </c>
    </row>
    <row r="39" ht="20" customHeight="1">
      <c r="A39" s="17" t="inlineStr">
        <is>
          <t>is_mall</t>
        </is>
      </c>
      <c r="B39" s="18" t="n">
        <v>26401.9488</v>
      </c>
      <c r="C39" s="19" t="n">
        <v>3.8606</v>
      </c>
      <c r="D39" s="20">
        <f>2*(1-T.DIST(ABS(C39),306-10,TRUE))</f>
        <v/>
      </c>
      <c r="E39" s="21">
        <f>IF(D39&lt;0.001,"★★★",IF(D39&lt;0.01,"★★",IF(D39&lt;0.05,"★ Sig",IF(D39&lt;0.1,"~ Marginal","✗ NS"))))</f>
        <v/>
      </c>
    </row>
  </sheetData>
  <mergeCells count="3">
    <mergeCell ref="A2:E2"/>
    <mergeCell ref="A1:E1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2026-06-27T09:48:42Z</dcterms:created>
  <dcterms:modified xmlns:dcterms="http://purl.org/dc/terms/" xmlns:xsi="http://www.w3.org/2001/XMLSchema-instance" xsi:type="dcterms:W3CDTF">2026-06-27T09:48:42Z</dcterms:modified>
</cp:coreProperties>
</file>